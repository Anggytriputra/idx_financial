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nggy\projects\idx_financial\annual_report\"/>
    </mc:Choice>
  </mc:AlternateContent>
  <xr:revisionPtr revIDLastSave="0" documentId="8_{D2ABA13A-332C-4275-BE9B-59049B436E4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D61" i="2" l="1"/>
  <c r="E57" i="2"/>
  <c r="D60" i="2" s="1"/>
  <c r="M49" i="2" l="1"/>
  <c r="Q49" i="2"/>
  <c r="Q42" i="2" l="1"/>
  <c r="Q35" i="2"/>
  <c r="Q21" i="2"/>
  <c r="Q14" i="2"/>
  <c r="I49" i="2" l="1"/>
  <c r="E49" i="2"/>
  <c r="M42" i="2"/>
  <c r="I42" i="2"/>
  <c r="E42" i="2"/>
  <c r="M35" i="2"/>
  <c r="I35" i="2"/>
  <c r="E35" i="2"/>
  <c r="M21" i="2" l="1"/>
  <c r="I21" i="2"/>
  <c r="E21" i="2"/>
  <c r="M14" i="2"/>
  <c r="I14" i="2"/>
  <c r="E14" i="2"/>
  <c r="P9" i="2"/>
  <c r="Q7" i="2" s="1"/>
  <c r="L9" i="2"/>
  <c r="M7" i="2" s="1"/>
  <c r="H9" i="2"/>
  <c r="I7" i="2" s="1"/>
  <c r="D9" i="2"/>
  <c r="E7" i="2" s="1"/>
  <c r="N93" i="1" l="1"/>
  <c r="N94" i="1" s="1"/>
  <c r="N85" i="1"/>
  <c r="N86" i="1" s="1"/>
  <c r="N69" i="1"/>
  <c r="N70" i="1" s="1"/>
  <c r="N61" i="1"/>
  <c r="N62" i="1" s="1"/>
  <c r="N51" i="1"/>
  <c r="N52" i="1" s="1"/>
  <c r="N42" i="1"/>
  <c r="N43" i="1" s="1"/>
  <c r="M93" i="1"/>
  <c r="M94" i="1" s="1"/>
  <c r="M85" i="1"/>
  <c r="M86" i="1" s="1"/>
  <c r="L85" i="1"/>
  <c r="L86" i="1" s="1"/>
  <c r="K85" i="1"/>
  <c r="K86" i="1" s="1"/>
  <c r="J85" i="1"/>
  <c r="J86" i="1" s="1"/>
  <c r="I85" i="1"/>
  <c r="I86" i="1" s="1"/>
  <c r="H85" i="1"/>
  <c r="H86" i="1" s="1"/>
  <c r="G85" i="1"/>
  <c r="G86" i="1" s="1"/>
  <c r="F85" i="1"/>
  <c r="F86" i="1" s="1"/>
  <c r="E85" i="1"/>
  <c r="E86" i="1" s="1"/>
  <c r="D85" i="1"/>
  <c r="D86" i="1" s="1"/>
  <c r="L93" i="1"/>
  <c r="L94" i="1" s="1"/>
  <c r="K93" i="1"/>
  <c r="K94" i="1" s="1"/>
  <c r="J93" i="1"/>
  <c r="J94" i="1" s="1"/>
  <c r="I93" i="1"/>
  <c r="I94" i="1" s="1"/>
  <c r="H93" i="1"/>
  <c r="H94" i="1" s="1"/>
  <c r="G93" i="1"/>
  <c r="G94" i="1" s="1"/>
  <c r="F93" i="1"/>
  <c r="F94" i="1" s="1"/>
  <c r="E93" i="1"/>
  <c r="E94" i="1" s="1"/>
  <c r="D93" i="1"/>
  <c r="D94" i="1" s="1"/>
  <c r="D77" i="1"/>
  <c r="D78" i="1" s="1"/>
  <c r="J42" i="1"/>
  <c r="J43" i="1" s="1"/>
  <c r="D55" i="1"/>
  <c r="C55" i="1"/>
  <c r="E55" i="1"/>
  <c r="F55" i="1"/>
  <c r="G55" i="1"/>
  <c r="H55" i="1"/>
  <c r="I55" i="1"/>
  <c r="J55" i="1"/>
  <c r="K55" i="1"/>
  <c r="L55" i="1"/>
  <c r="M55" i="1"/>
  <c r="M77" i="1"/>
  <c r="M78" i="1" s="1"/>
  <c r="L77" i="1"/>
  <c r="L78" i="1" s="1"/>
  <c r="K77" i="1"/>
  <c r="K78" i="1" s="1"/>
  <c r="J77" i="1"/>
  <c r="J78" i="1" s="1"/>
  <c r="I77" i="1"/>
  <c r="I78" i="1" s="1"/>
  <c r="H77" i="1"/>
  <c r="H78" i="1" s="1"/>
  <c r="G77" i="1"/>
  <c r="G78" i="1" s="1"/>
  <c r="F77" i="1"/>
  <c r="F78" i="1" s="1"/>
  <c r="E77" i="1"/>
  <c r="E78" i="1" s="1"/>
  <c r="M69" i="1"/>
  <c r="M70" i="1" s="1"/>
  <c r="L69" i="1"/>
  <c r="L70" i="1" s="1"/>
  <c r="K69" i="1"/>
  <c r="K70" i="1" s="1"/>
  <c r="J69" i="1"/>
  <c r="J70" i="1" s="1"/>
  <c r="I69" i="1"/>
  <c r="I70" i="1" s="1"/>
  <c r="H69" i="1"/>
  <c r="H70" i="1" s="1"/>
  <c r="G69" i="1"/>
  <c r="G70" i="1" s="1"/>
  <c r="F69" i="1"/>
  <c r="F70" i="1" s="1"/>
  <c r="E69" i="1"/>
  <c r="E70" i="1" s="1"/>
  <c r="D69" i="1"/>
  <c r="D70" i="1" s="1"/>
  <c r="M61" i="1"/>
  <c r="M62" i="1" s="1"/>
  <c r="L61" i="1"/>
  <c r="L62" i="1" s="1"/>
  <c r="K61" i="1"/>
  <c r="K62" i="1" s="1"/>
  <c r="J61" i="1"/>
  <c r="J62" i="1" s="1"/>
  <c r="I61" i="1"/>
  <c r="I62" i="1" s="1"/>
  <c r="H61" i="1"/>
  <c r="H62" i="1" s="1"/>
  <c r="G61" i="1"/>
  <c r="G62" i="1" s="1"/>
  <c r="F61" i="1"/>
  <c r="F62" i="1" s="1"/>
  <c r="E61" i="1"/>
  <c r="E62" i="1" s="1"/>
  <c r="D61" i="1"/>
  <c r="D62" i="1" s="1"/>
  <c r="H51" i="1"/>
  <c r="H52" i="1" s="1"/>
  <c r="I51" i="1"/>
  <c r="I52" i="1" s="1"/>
  <c r="G51" i="1"/>
  <c r="G52" i="1" s="1"/>
  <c r="F51" i="1"/>
  <c r="F52" i="1" s="1"/>
  <c r="E51" i="1"/>
  <c r="E52" i="1" s="1"/>
  <c r="D51" i="1"/>
  <c r="D52" i="1" s="1"/>
  <c r="D42" i="1"/>
  <c r="D43" i="1" s="1"/>
  <c r="I42" i="1"/>
  <c r="I43" i="1" s="1"/>
  <c r="H42" i="1"/>
  <c r="H43" i="1" s="1"/>
  <c r="G42" i="1"/>
  <c r="G43" i="1" s="1"/>
  <c r="F42" i="1"/>
  <c r="F43" i="1" s="1"/>
  <c r="E42" i="1"/>
  <c r="E43" i="1" s="1"/>
  <c r="M51" i="1"/>
  <c r="M52" i="1" s="1"/>
  <c r="L51" i="1"/>
  <c r="L52" i="1" s="1"/>
  <c r="K51" i="1"/>
  <c r="K52" i="1" s="1"/>
  <c r="J51" i="1"/>
  <c r="J52" i="1" s="1"/>
  <c r="J32" i="1"/>
  <c r="J33" i="1" s="1"/>
  <c r="M42" i="1"/>
  <c r="M43" i="1" s="1"/>
  <c r="L42" i="1"/>
  <c r="L43" i="1" s="1"/>
  <c r="K42" i="1"/>
  <c r="N32" i="1"/>
  <c r="N33" i="1" s="1"/>
  <c r="M32" i="1"/>
  <c r="M33" i="1" s="1"/>
  <c r="L32" i="1"/>
  <c r="L33" i="1" s="1"/>
  <c r="K32" i="1"/>
  <c r="K33" i="1" s="1"/>
  <c r="J31" i="1"/>
  <c r="J34" i="1" s="1"/>
  <c r="K31" i="1"/>
  <c r="K34" i="1" s="1"/>
  <c r="L31" i="1"/>
  <c r="L34" i="1" s="1"/>
  <c r="M31" i="1"/>
  <c r="M34" i="1" s="1"/>
  <c r="N31" i="1"/>
  <c r="N34" i="1" s="1"/>
</calcChain>
</file>

<file path=xl/sharedStrings.xml><?xml version="1.0" encoding="utf-8"?>
<sst xmlns="http://schemas.openxmlformats.org/spreadsheetml/2006/main" count="135" uniqueCount="71">
  <si>
    <t>BBCA</t>
  </si>
  <si>
    <t>Saham beredar:</t>
  </si>
  <si>
    <t>Harga Pasar (HP)</t>
  </si>
  <si>
    <t>Harga wajar (HW)</t>
  </si>
  <si>
    <t>Tahun</t>
  </si>
  <si>
    <t>perbandingan  (HP) +-</t>
  </si>
  <si>
    <t>perbandingan  (HW) +-</t>
  </si>
  <si>
    <t>Total Asset</t>
  </si>
  <si>
    <t>kenaikan dan turun</t>
  </si>
  <si>
    <t>HW</t>
  </si>
  <si>
    <t>HP</t>
  </si>
  <si>
    <t>PERBANDINGAN NILAI HARGA WAJAR DENGAN PASAR Oktober (YOY)</t>
  </si>
  <si>
    <t>Total liabilities</t>
  </si>
  <si>
    <t>Tahun (YOY)</t>
  </si>
  <si>
    <t>Total Equity</t>
  </si>
  <si>
    <t>pendapatan bersih</t>
  </si>
  <si>
    <t>Laba bersih</t>
  </si>
  <si>
    <t>Laba bruto</t>
  </si>
  <si>
    <t>modal kerja bersih</t>
  </si>
  <si>
    <t xml:space="preserve">2021 (Q1) </t>
  </si>
  <si>
    <t>Pendapatan</t>
  </si>
  <si>
    <t>Beban</t>
  </si>
  <si>
    <t>GPM Q1</t>
  </si>
  <si>
    <t>GPM Q2</t>
  </si>
  <si>
    <t>Rasio Keuangan AUTO 2021</t>
  </si>
  <si>
    <t>GPM Q3</t>
  </si>
  <si>
    <t>Operating Profit Margin (Q1)</t>
  </si>
  <si>
    <t>operating</t>
  </si>
  <si>
    <t>OPM Q3</t>
  </si>
  <si>
    <t>Operating</t>
  </si>
  <si>
    <t>OPM Q2</t>
  </si>
  <si>
    <t>Net profit</t>
  </si>
  <si>
    <t>Net Profit Margin (Q1)</t>
  </si>
  <si>
    <t>Net Profit</t>
  </si>
  <si>
    <t>Total aset Turn Over (Q1)</t>
  </si>
  <si>
    <t>Total Aset</t>
  </si>
  <si>
    <t>4,5x</t>
  </si>
  <si>
    <t>NPM Q2</t>
  </si>
  <si>
    <t>NPM Q3</t>
  </si>
  <si>
    <t>2,3x</t>
  </si>
  <si>
    <t>TATO Q2</t>
  </si>
  <si>
    <t>TATO Q3</t>
  </si>
  <si>
    <t>1,5x</t>
  </si>
  <si>
    <t>Return On Asset (Q1)</t>
  </si>
  <si>
    <t>Profit</t>
  </si>
  <si>
    <t>BRUTO</t>
  </si>
  <si>
    <t>Bruto</t>
  </si>
  <si>
    <t>Return On Equity (Q1)</t>
  </si>
  <si>
    <t>Equity</t>
  </si>
  <si>
    <t>Return On Equity (Q2)</t>
  </si>
  <si>
    <t>Return On Equity (Q3)</t>
  </si>
  <si>
    <t>Liabilites</t>
  </si>
  <si>
    <t>Liabilities</t>
  </si>
  <si>
    <t>Saham beredar</t>
  </si>
  <si>
    <t>x</t>
  </si>
  <si>
    <t>GPM Q4</t>
  </si>
  <si>
    <t>OPM Q4</t>
  </si>
  <si>
    <t>NPM Q4</t>
  </si>
  <si>
    <t>TATO Q4</t>
  </si>
  <si>
    <t>Return On Asset Q4</t>
  </si>
  <si>
    <t>Return On Equity Q4</t>
  </si>
  <si>
    <t>Deb Equity Ratio (Q3)</t>
  </si>
  <si>
    <t>Aset</t>
  </si>
  <si>
    <t>kurs US</t>
  </si>
  <si>
    <t>PBV</t>
  </si>
  <si>
    <t>Harga saham BMTR</t>
  </si>
  <si>
    <t>bvps</t>
  </si>
  <si>
    <t>liabilitas</t>
  </si>
  <si>
    <t>PE</t>
  </si>
  <si>
    <t>eps</t>
  </si>
  <si>
    <t>PBV MEI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</si>
</sst>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0.0"/>
  </numFmts>
  <fonts count="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charset val="1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1">
    <xf numFmtId="0" fontId="0" fillId="0" borderId="0" xfId="0"/>
    <xf numFmtId="164" fontId="0" fillId="0" borderId="0" xfId="1" applyFont="1"/>
    <xf numFmtId="9" fontId="0" fillId="0" borderId="0" xfId="0" applyNumberFormat="1"/>
    <xf numFmtId="0" fontId="0" fillId="0" borderId="1" xfId="0" applyBorder="1"/>
    <xf numFmtId="9" fontId="0" fillId="0" borderId="1" xfId="0" applyNumberFormat="1" applyBorder="1"/>
    <xf numFmtId="164" fontId="0" fillId="0" borderId="1" xfId="1" applyFont="1" applyBorder="1"/>
    <xf numFmtId="164" fontId="0" fillId="0" borderId="1" xfId="0" applyNumberFormat="1" applyBorder="1"/>
    <xf numFmtId="9" fontId="0" fillId="0" borderId="0" xfId="2" applyFont="1"/>
    <xf numFmtId="0" fontId="0" fillId="2" borderId="1" xfId="0" applyFill="1" applyBorder="1"/>
    <xf numFmtId="164" fontId="0" fillId="2" borderId="1" xfId="1" applyFont="1" applyFill="1" applyBorder="1"/>
    <xf numFmtId="164" fontId="2" fillId="3" borderId="1" xfId="0" applyNumberFormat="1" applyFont="1" applyFill="1" applyBorder="1"/>
    <xf numFmtId="0" fontId="0" fillId="4" borderId="1" xfId="0" applyFill="1" applyBorder="1"/>
    <xf numFmtId="164" fontId="0" fillId="4" borderId="1" xfId="1" applyFont="1" applyFill="1" applyBorder="1"/>
    <xf numFmtId="164" fontId="0" fillId="4" borderId="1" xfId="0" applyNumberFormat="1" applyFill="1" applyBorder="1"/>
    <xf numFmtId="0" fontId="0" fillId="2" borderId="2" xfId="0" applyFill="1" applyBorder="1"/>
    <xf numFmtId="164" fontId="0" fillId="2" borderId="2" xfId="0" applyNumberFormat="1" applyFill="1" applyBorder="1"/>
    <xf numFmtId="9" fontId="0" fillId="2" borderId="1" xfId="0" applyNumberFormat="1" applyFill="1" applyBorder="1"/>
    <xf numFmtId="9" fontId="0" fillId="2" borderId="1" xfId="2" applyFont="1" applyFill="1" applyBorder="1"/>
    <xf numFmtId="9" fontId="0" fillId="3" borderId="1" xfId="2" applyFont="1" applyFill="1" applyBorder="1"/>
    <xf numFmtId="0" fontId="0" fillId="4" borderId="2" xfId="0" applyFill="1" applyBorder="1"/>
    <xf numFmtId="9" fontId="0" fillId="4" borderId="2" xfId="0" applyNumberFormat="1" applyFill="1" applyBorder="1"/>
    <xf numFmtId="9" fontId="0" fillId="4" borderId="2" xfId="2" applyFont="1" applyFill="1" applyBorder="1"/>
    <xf numFmtId="9" fontId="0" fillId="3" borderId="2" xfId="2" applyFont="1" applyFill="1" applyBorder="1"/>
    <xf numFmtId="0" fontId="0" fillId="5" borderId="0" xfId="0" applyFill="1" applyAlignment="1">
      <alignment horizontal="center"/>
    </xf>
    <xf numFmtId="0" fontId="0" fillId="5" borderId="0" xfId="0" applyFill="1"/>
    <xf numFmtId="9" fontId="0" fillId="0" borderId="1" xfId="2" applyFont="1" applyBorder="1"/>
    <xf numFmtId="164" fontId="0" fillId="3" borderId="1" xfId="2" applyNumberFormat="1" applyFont="1" applyFill="1" applyBorder="1"/>
    <xf numFmtId="164" fontId="0" fillId="3" borderId="1" xfId="1" applyFont="1" applyFill="1" applyBorder="1"/>
    <xf numFmtId="164" fontId="0" fillId="3" borderId="1" xfId="0" applyNumberFormat="1" applyFill="1" applyBorder="1"/>
    <xf numFmtId="0" fontId="0" fillId="6" borderId="1" xfId="0" applyFill="1" applyBorder="1" applyAlignment="1">
      <alignment horizontal="center"/>
    </xf>
    <xf numFmtId="164" fontId="0" fillId="6" borderId="1" xfId="1" applyFont="1" applyFill="1" applyBorder="1"/>
    <xf numFmtId="164" fontId="0" fillId="6" borderId="0" xfId="0" applyNumberFormat="1" applyFill="1"/>
    <xf numFmtId="9" fontId="0" fillId="6" borderId="0" xfId="2" applyFont="1" applyFill="1"/>
    <xf numFmtId="164" fontId="0" fillId="6" borderId="1" xfId="2" applyNumberFormat="1" applyFont="1" applyFill="1" applyBorder="1"/>
    <xf numFmtId="0" fontId="0" fillId="6" borderId="0" xfId="0" applyFill="1"/>
    <xf numFmtId="0" fontId="0" fillId="6" borderId="1" xfId="0" applyFill="1" applyBorder="1"/>
    <xf numFmtId="9" fontId="0" fillId="6" borderId="1" xfId="2" applyFont="1" applyFill="1" applyBorder="1"/>
    <xf numFmtId="164" fontId="0" fillId="5" borderId="1" xfId="1" applyFont="1" applyFill="1" applyBorder="1"/>
    <xf numFmtId="9" fontId="0" fillId="5" borderId="1" xfId="2" applyFont="1" applyFill="1" applyBorder="1"/>
    <xf numFmtId="0" fontId="0" fillId="5" borderId="1" xfId="0" applyFill="1" applyBorder="1"/>
    <xf numFmtId="9" fontId="0" fillId="5" borderId="1" xfId="0" applyNumberFormat="1" applyFill="1" applyBorder="1"/>
    <xf numFmtId="164" fontId="0" fillId="5" borderId="1" xfId="0" applyNumberFormat="1" applyFill="1" applyBorder="1"/>
    <xf numFmtId="164" fontId="0" fillId="5" borderId="1" xfId="2" applyNumberFormat="1" applyFont="1" applyFill="1" applyBorder="1"/>
    <xf numFmtId="164" fontId="0" fillId="6" borderId="1" xfId="0" applyNumberFormat="1" applyFill="1" applyBorder="1"/>
    <xf numFmtId="164" fontId="0" fillId="7" borderId="1" xfId="1" applyFont="1" applyFill="1" applyBorder="1"/>
    <xf numFmtId="9" fontId="0" fillId="7" borderId="1" xfId="2" applyFont="1" applyFill="1" applyBorder="1"/>
    <xf numFmtId="164" fontId="0" fillId="7" borderId="1" xfId="2" applyNumberFormat="1" applyFont="1" applyFill="1" applyBorder="1"/>
    <xf numFmtId="164" fontId="0" fillId="7" borderId="1" xfId="0" applyNumberFormat="1" applyFill="1" applyBorder="1"/>
    <xf numFmtId="164" fontId="0" fillId="0" borderId="0" xfId="0" applyNumberFormat="1"/>
    <xf numFmtId="2" fontId="0" fillId="6" borderId="1" xfId="0" applyNumberFormat="1" applyFill="1" applyBorder="1"/>
    <xf numFmtId="0" fontId="0" fillId="5" borderId="1" xfId="0" applyFill="1" applyBorder="1" applyAlignment="1">
      <alignment horizontal="center"/>
    </xf>
    <xf numFmtId="165" fontId="0" fillId="5" borderId="1" xfId="2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0" fillId="0" borderId="1" xfId="2" applyFont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1552575</xdr:colOff>
      <xdr:row>0</xdr:row>
      <xdr:rowOff>0</xdr:rowOff>
    </xdr:from>
    <xdr:to>
      <xdr:col>9</xdr:col>
      <xdr:colOff>288925</xdr:colOff>
      <xdr:row>24</xdr:row>
      <xdr:rowOff>38100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62175" y="0"/>
          <a:ext cx="7515225" cy="46101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O110"/>
  <sheetViews>
    <sheetView tabSelected="1" topLeftCell="B40" zoomScale="80" zoomScaleNormal="80" workbookViewId="0">
      <selection activeCell="O40" sqref="O40"/>
    </sheetView>
  </sheetViews>
  <sheetFormatPr defaultRowHeight="14.5" x14ac:dyDescent="0.35"/>
  <cols>
    <col min="2" max="2" width="24.26953125" customWidth="1"/>
    <col min="3" max="3" width="15.453125" customWidth="1"/>
    <col min="4" max="4" width="17.453125" customWidth="1"/>
    <col min="5" max="5" width="17.26953125" customWidth="1"/>
    <col min="6" max="6" width="15.54296875" customWidth="1"/>
    <col min="7" max="8" width="14.26953125" customWidth="1"/>
    <col min="9" max="9" width="13.26953125" customWidth="1"/>
    <col min="10" max="11" width="13.7265625" customWidth="1"/>
    <col min="12" max="12" width="14.1796875" customWidth="1"/>
    <col min="13" max="13" width="15.26953125" customWidth="1"/>
    <col min="14" max="14" width="12.26953125" customWidth="1"/>
  </cols>
  <sheetData>
    <row r="5" spans="4:5" x14ac:dyDescent="0.35">
      <c r="D5" s="2"/>
      <c r="E5" s="2"/>
    </row>
    <row r="6" spans="4:5" x14ac:dyDescent="0.35">
      <c r="D6" s="1"/>
      <c r="E6" s="1"/>
    </row>
    <row r="24" spans="2:14" x14ac:dyDescent="0.35">
      <c r="C24" s="3" t="s">
        <v>0</v>
      </c>
      <c r="D24" s="4">
        <v>1</v>
      </c>
      <c r="E24" s="4">
        <v>0.45</v>
      </c>
    </row>
    <row r="25" spans="2:14" x14ac:dyDescent="0.35">
      <c r="C25" s="3" t="s">
        <v>1</v>
      </c>
      <c r="D25" s="5">
        <v>24655010000</v>
      </c>
      <c r="E25" s="5">
        <v>11109020000</v>
      </c>
    </row>
    <row r="26" spans="2:14" x14ac:dyDescent="0.35">
      <c r="D26" s="2"/>
      <c r="E26" s="2"/>
    </row>
    <row r="27" spans="2:14" x14ac:dyDescent="0.35">
      <c r="C27" s="56" t="s">
        <v>11</v>
      </c>
      <c r="D27" s="56"/>
      <c r="E27" s="56"/>
      <c r="F27" s="56"/>
      <c r="G27" s="56"/>
      <c r="H27" s="56"/>
      <c r="I27" s="56"/>
      <c r="J27" s="56"/>
      <c r="K27" s="56"/>
      <c r="L27" s="56"/>
      <c r="M27" s="56"/>
    </row>
    <row r="28" spans="2:14" x14ac:dyDescent="0.35">
      <c r="B28" s="3" t="s">
        <v>4</v>
      </c>
      <c r="C28" s="3">
        <v>2010</v>
      </c>
      <c r="D28" s="3">
        <v>2011</v>
      </c>
      <c r="E28" s="3">
        <v>2012</v>
      </c>
      <c r="F28" s="3">
        <v>2013</v>
      </c>
      <c r="G28" s="3">
        <v>2014</v>
      </c>
      <c r="H28" s="3">
        <v>2015</v>
      </c>
      <c r="I28" s="3">
        <v>2016</v>
      </c>
      <c r="J28" s="3">
        <v>2017</v>
      </c>
      <c r="K28" s="3">
        <v>2018</v>
      </c>
      <c r="L28" s="3">
        <v>2019</v>
      </c>
      <c r="M28" s="3">
        <v>2020</v>
      </c>
      <c r="N28" s="3">
        <v>2021</v>
      </c>
    </row>
    <row r="29" spans="2:14" x14ac:dyDescent="0.35">
      <c r="B29" s="8" t="s">
        <v>3</v>
      </c>
      <c r="C29" s="8"/>
      <c r="D29" s="8"/>
      <c r="E29" s="8"/>
      <c r="F29" s="8"/>
      <c r="G29" s="8"/>
      <c r="H29" s="8"/>
      <c r="I29" s="9">
        <v>9261</v>
      </c>
      <c r="J29" s="9">
        <v>10641</v>
      </c>
      <c r="K29" s="9">
        <v>12049</v>
      </c>
      <c r="L29" s="9">
        <v>13567</v>
      </c>
      <c r="M29" s="9">
        <v>13612</v>
      </c>
      <c r="N29" s="9">
        <v>13974</v>
      </c>
    </row>
    <row r="30" spans="2:14" x14ac:dyDescent="0.35">
      <c r="B30" s="11" t="s">
        <v>2</v>
      </c>
      <c r="C30" s="11"/>
      <c r="D30" s="11"/>
      <c r="E30" s="11"/>
      <c r="F30" s="11"/>
      <c r="G30" s="11"/>
      <c r="H30" s="11"/>
      <c r="I30" s="12">
        <v>15350</v>
      </c>
      <c r="J30" s="12">
        <v>20050</v>
      </c>
      <c r="K30" s="12">
        <v>23650</v>
      </c>
      <c r="L30" s="12">
        <v>29750</v>
      </c>
      <c r="M30" s="12">
        <v>27200</v>
      </c>
      <c r="N30" s="12">
        <v>32050</v>
      </c>
    </row>
    <row r="31" spans="2:14" x14ac:dyDescent="0.35">
      <c r="B31" s="11" t="s">
        <v>5</v>
      </c>
      <c r="C31" s="11"/>
      <c r="D31" s="11"/>
      <c r="E31" s="11"/>
      <c r="F31" s="11"/>
      <c r="G31" s="11"/>
      <c r="H31" s="11"/>
      <c r="I31" s="11"/>
      <c r="J31" s="13">
        <f>J30-I30</f>
        <v>4700</v>
      </c>
      <c r="K31" s="13">
        <f>K30-J30</f>
        <v>3600</v>
      </c>
      <c r="L31" s="13">
        <f>L30-K30</f>
        <v>6100</v>
      </c>
      <c r="M31" s="10">
        <f>M30-L30</f>
        <v>-2550</v>
      </c>
      <c r="N31" s="13">
        <f>N30-M30</f>
        <v>4850</v>
      </c>
    </row>
    <row r="32" spans="2:14" x14ac:dyDescent="0.35">
      <c r="B32" s="14" t="s">
        <v>6</v>
      </c>
      <c r="C32" s="14"/>
      <c r="D32" s="14"/>
      <c r="E32" s="14"/>
      <c r="F32" s="14"/>
      <c r="G32" s="14"/>
      <c r="H32" s="14"/>
      <c r="I32" s="14"/>
      <c r="J32" s="15">
        <f>J29-I29</f>
        <v>1380</v>
      </c>
      <c r="K32" s="15">
        <f>K29-J29</f>
        <v>1408</v>
      </c>
      <c r="L32" s="15">
        <f>L29-K29</f>
        <v>1518</v>
      </c>
      <c r="M32" s="15">
        <f>M29-L29</f>
        <v>45</v>
      </c>
      <c r="N32" s="15">
        <f>N29-M29</f>
        <v>362</v>
      </c>
    </row>
    <row r="33" spans="1:15" x14ac:dyDescent="0.35">
      <c r="A33" s="8" t="s">
        <v>9</v>
      </c>
      <c r="B33" s="16">
        <v>1</v>
      </c>
      <c r="C33" s="8"/>
      <c r="D33" s="8"/>
      <c r="E33" s="8"/>
      <c r="F33" s="8"/>
      <c r="G33" s="8"/>
      <c r="H33" s="8"/>
      <c r="I33" s="8"/>
      <c r="J33" s="17">
        <f>J32/I29*B33</f>
        <v>0.14901198574667962</v>
      </c>
      <c r="K33" s="17">
        <f>K32/J29*B33</f>
        <v>0.13231839112865332</v>
      </c>
      <c r="L33" s="17">
        <f>L32/K29*B33</f>
        <v>0.12598555896754918</v>
      </c>
      <c r="M33" s="17">
        <f>M32/L29*B33</f>
        <v>3.3168718213311714E-3</v>
      </c>
      <c r="N33" s="17">
        <f>N32/M29*B33</f>
        <v>2.6594181604466648E-2</v>
      </c>
    </row>
    <row r="34" spans="1:15" x14ac:dyDescent="0.35">
      <c r="A34" s="19" t="s">
        <v>10</v>
      </c>
      <c r="B34" s="20">
        <v>1</v>
      </c>
      <c r="C34" s="19"/>
      <c r="D34" s="19"/>
      <c r="E34" s="19"/>
      <c r="F34" s="19"/>
      <c r="G34" s="19"/>
      <c r="H34" s="19"/>
      <c r="I34" s="19"/>
      <c r="J34" s="21">
        <f>J31/I30*B34</f>
        <v>0.30618892508143325</v>
      </c>
      <c r="K34" s="21">
        <f>K31/J30*B34</f>
        <v>0.17955112219451372</v>
      </c>
      <c r="L34" s="21">
        <f>L31/K30*B34</f>
        <v>0.25792811839323465</v>
      </c>
      <c r="M34" s="22">
        <f>M31/L30*B34</f>
        <v>-8.5714285714285715E-2</v>
      </c>
      <c r="N34" s="21">
        <f>N31/M30*B34</f>
        <v>0.17830882352941177</v>
      </c>
    </row>
    <row r="35" spans="1:15" x14ac:dyDescent="0.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4"/>
    </row>
    <row r="36" spans="1:15" x14ac:dyDescent="0.3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4"/>
    </row>
    <row r="37" spans="1:15" x14ac:dyDescent="0.35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4"/>
    </row>
    <row r="38" spans="1:15" x14ac:dyDescent="0.35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</row>
    <row r="39" spans="1:15" x14ac:dyDescent="0.35">
      <c r="B39" s="52"/>
      <c r="C39" s="52" t="s">
        <v>13</v>
      </c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</row>
    <row r="40" spans="1:15" x14ac:dyDescent="0.35">
      <c r="B40" s="52"/>
      <c r="C40" s="29">
        <v>2010</v>
      </c>
      <c r="D40" s="29">
        <v>2011</v>
      </c>
      <c r="E40" s="29">
        <v>2012</v>
      </c>
      <c r="F40" s="29">
        <v>2013</v>
      </c>
      <c r="G40" s="29">
        <v>2014</v>
      </c>
      <c r="H40" s="29">
        <v>2015</v>
      </c>
      <c r="I40" s="29">
        <v>2016</v>
      </c>
      <c r="J40" s="29">
        <v>2017</v>
      </c>
      <c r="K40" s="29">
        <v>2018</v>
      </c>
      <c r="L40" s="29">
        <v>2019</v>
      </c>
      <c r="M40" s="29">
        <v>2020</v>
      </c>
      <c r="N40" s="29">
        <v>2021</v>
      </c>
    </row>
    <row r="41" spans="1:15" x14ac:dyDescent="0.35">
      <c r="B41" s="3" t="s">
        <v>7</v>
      </c>
      <c r="C41" s="30">
        <v>5585852</v>
      </c>
      <c r="D41" s="30">
        <v>6964227</v>
      </c>
      <c r="E41" s="30">
        <v>8807056</v>
      </c>
      <c r="F41" s="30">
        <v>12484843</v>
      </c>
      <c r="G41" s="30">
        <v>14380926</v>
      </c>
      <c r="H41" s="30">
        <v>14339110</v>
      </c>
      <c r="I41" s="30">
        <v>14612274</v>
      </c>
      <c r="J41" s="30">
        <v>14762309</v>
      </c>
      <c r="K41" s="30">
        <v>15889648</v>
      </c>
      <c r="L41" s="30">
        <v>16015709</v>
      </c>
      <c r="M41" s="30">
        <v>15180094</v>
      </c>
      <c r="N41" s="30">
        <v>16947148</v>
      </c>
    </row>
    <row r="42" spans="1:15" x14ac:dyDescent="0.35">
      <c r="B42" s="2" t="s">
        <v>8</v>
      </c>
      <c r="C42" s="34"/>
      <c r="D42" s="31">
        <f t="shared" ref="D42:M42" si="0">D41-C41</f>
        <v>1378375</v>
      </c>
      <c r="E42" s="31">
        <f t="shared" si="0"/>
        <v>1842829</v>
      </c>
      <c r="F42" s="31">
        <f t="shared" si="0"/>
        <v>3677787</v>
      </c>
      <c r="G42" s="31">
        <f t="shared" si="0"/>
        <v>1896083</v>
      </c>
      <c r="H42" s="31">
        <f t="shared" si="0"/>
        <v>-41816</v>
      </c>
      <c r="I42" s="31">
        <f t="shared" si="0"/>
        <v>273164</v>
      </c>
      <c r="J42" s="33">
        <f>J41-I41</f>
        <v>150035</v>
      </c>
      <c r="K42" s="31">
        <f t="shared" si="0"/>
        <v>1127339</v>
      </c>
      <c r="L42" s="31">
        <f t="shared" si="0"/>
        <v>126061</v>
      </c>
      <c r="M42" s="31">
        <f t="shared" si="0"/>
        <v>-835615</v>
      </c>
      <c r="N42" s="31">
        <f>N41-M41</f>
        <v>1767054</v>
      </c>
    </row>
    <row r="43" spans="1:15" x14ac:dyDescent="0.35">
      <c r="B43" s="7">
        <v>1</v>
      </c>
      <c r="C43" s="34"/>
      <c r="D43" s="32">
        <f>D42/C41*B43</f>
        <v>0.24676181896691857</v>
      </c>
      <c r="E43" s="32">
        <f>E42/D41*B43</f>
        <v>0.26461357448572542</v>
      </c>
      <c r="F43" s="32">
        <f>F42/E41*B43</f>
        <v>0.41759550524034367</v>
      </c>
      <c r="G43" s="32">
        <f>G42/F41*B43</f>
        <v>0.15187079244809085</v>
      </c>
      <c r="H43" s="32">
        <f>H42/G41*B43</f>
        <v>-2.9077404334046362E-3</v>
      </c>
      <c r="I43" s="32">
        <f>I42/H41*B43</f>
        <v>1.905027578420139E-2</v>
      </c>
      <c r="J43" s="32">
        <f>J42/I41*B43</f>
        <v>1.0267737930454903E-2</v>
      </c>
      <c r="K43" s="32"/>
      <c r="L43" s="32">
        <f>L42/K41*B43</f>
        <v>7.9335300568017623E-3</v>
      </c>
      <c r="M43" s="32">
        <f>M42/L41*B43</f>
        <v>-5.2174711715853479E-2</v>
      </c>
      <c r="N43" s="32">
        <f>N42/M41*B43</f>
        <v>0.11640599853992999</v>
      </c>
    </row>
    <row r="44" spans="1:15" x14ac:dyDescent="0.35">
      <c r="K44" s="7"/>
    </row>
    <row r="48" spans="1:15" x14ac:dyDescent="0.35">
      <c r="B48" s="52"/>
      <c r="C48" s="52" t="s">
        <v>4</v>
      </c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</row>
    <row r="49" spans="2:14" x14ac:dyDescent="0.35">
      <c r="B49" s="52"/>
      <c r="C49" s="29">
        <v>2010</v>
      </c>
      <c r="D49" s="29">
        <v>2011</v>
      </c>
      <c r="E49" s="29">
        <v>2012</v>
      </c>
      <c r="F49" s="29">
        <v>2013</v>
      </c>
      <c r="G49" s="29">
        <v>2014</v>
      </c>
      <c r="H49" s="29">
        <v>2015</v>
      </c>
      <c r="I49" s="29">
        <v>2016</v>
      </c>
      <c r="J49" s="29">
        <v>2017</v>
      </c>
      <c r="K49" s="29">
        <v>2018</v>
      </c>
      <c r="L49" s="29">
        <v>2019</v>
      </c>
      <c r="M49" s="29">
        <v>2020</v>
      </c>
      <c r="N49" s="29">
        <v>2021</v>
      </c>
    </row>
    <row r="50" spans="2:14" x14ac:dyDescent="0.35">
      <c r="B50" s="3" t="s">
        <v>12</v>
      </c>
      <c r="C50" s="30">
        <v>1482705</v>
      </c>
      <c r="D50" s="30">
        <v>2241333</v>
      </c>
      <c r="E50" s="30">
        <v>3396543</v>
      </c>
      <c r="F50" s="30">
        <v>3058924</v>
      </c>
      <c r="G50" s="30">
        <v>4244369</v>
      </c>
      <c r="H50" s="30">
        <v>4195684</v>
      </c>
      <c r="I50" s="30">
        <v>4075716</v>
      </c>
      <c r="J50" s="30">
        <v>4003233</v>
      </c>
      <c r="K50" s="30">
        <v>4626013</v>
      </c>
      <c r="L50" s="30">
        <v>4365175</v>
      </c>
      <c r="M50" s="30">
        <v>3909303</v>
      </c>
      <c r="N50" s="30">
        <v>5101517</v>
      </c>
    </row>
    <row r="51" spans="2:14" x14ac:dyDescent="0.35">
      <c r="B51" s="4" t="s">
        <v>8</v>
      </c>
      <c r="C51" s="30"/>
      <c r="D51" s="30">
        <f t="shared" ref="D51:M51" si="1">D50-C50</f>
        <v>758628</v>
      </c>
      <c r="E51" s="30">
        <f t="shared" si="1"/>
        <v>1155210</v>
      </c>
      <c r="F51" s="30">
        <f t="shared" si="1"/>
        <v>-337619</v>
      </c>
      <c r="G51" s="30">
        <f t="shared" si="1"/>
        <v>1185445</v>
      </c>
      <c r="H51" s="30">
        <f t="shared" si="1"/>
        <v>-48685</v>
      </c>
      <c r="I51" s="43">
        <f t="shared" si="1"/>
        <v>-119968</v>
      </c>
      <c r="J51" s="33">
        <f t="shared" si="1"/>
        <v>-72483</v>
      </c>
      <c r="K51" s="43">
        <f t="shared" si="1"/>
        <v>622780</v>
      </c>
      <c r="L51" s="43">
        <f t="shared" si="1"/>
        <v>-260838</v>
      </c>
      <c r="M51" s="43">
        <f t="shared" si="1"/>
        <v>-455872</v>
      </c>
      <c r="N51" s="43">
        <f>N50-M50</f>
        <v>1192214</v>
      </c>
    </row>
    <row r="52" spans="2:14" x14ac:dyDescent="0.35">
      <c r="B52" s="25">
        <v>1</v>
      </c>
      <c r="C52" s="35"/>
      <c r="D52" s="36">
        <f>D51/C50*B52</f>
        <v>0.51165133994961909</v>
      </c>
      <c r="E52" s="36">
        <f>E51/D50*B52</f>
        <v>0.51541203382094491</v>
      </c>
      <c r="F52" s="36">
        <f>F51/E50*B52</f>
        <v>-9.9400773080158267E-2</v>
      </c>
      <c r="G52" s="36">
        <f>G51/F50*B52</f>
        <v>0.38753659783636335</v>
      </c>
      <c r="H52" s="36">
        <f>H51/G50*B52</f>
        <v>-1.1470491844606348E-2</v>
      </c>
      <c r="I52" s="36">
        <f>I51/H50*B52</f>
        <v>-2.8593192432985897E-2</v>
      </c>
      <c r="J52" s="36">
        <f>J51/I50*B52</f>
        <v>-1.7784114496692115E-2</v>
      </c>
      <c r="K52" s="36">
        <f>K51/J50*B52</f>
        <v>0.15556926114467981</v>
      </c>
      <c r="L52" s="36">
        <f>L51/K50*B52</f>
        <v>-5.6385055554318587E-2</v>
      </c>
      <c r="M52" s="36">
        <f>M51/L50*B52</f>
        <v>-0.10443384285853373</v>
      </c>
      <c r="N52" s="36">
        <f>N51/M50*B52</f>
        <v>0.30496843043376276</v>
      </c>
    </row>
    <row r="55" spans="2:14" x14ac:dyDescent="0.35">
      <c r="C55" s="7">
        <f>C60/C50*B52</f>
        <v>2.6039077227095073</v>
      </c>
      <c r="D55" s="7">
        <f>D60/D50*B52</f>
        <v>1.9736264089271875</v>
      </c>
      <c r="E55" s="7">
        <f>E60/E50*B52</f>
        <v>1.5929470052344399</v>
      </c>
      <c r="F55" s="7">
        <f>F60/F50*B52</f>
        <v>3.0814492285522621</v>
      </c>
      <c r="G55" s="7">
        <f>G60/G50*B52</f>
        <v>2.3882365081829597</v>
      </c>
      <c r="H55" s="7">
        <f>H60/H50*B52</f>
        <v>2.417585785774143</v>
      </c>
      <c r="I55" s="7">
        <f>I60/I50/B52</f>
        <v>2.585204170261127</v>
      </c>
      <c r="J55" s="7">
        <f>J60/J50*B52</f>
        <v>2.6875967499268718</v>
      </c>
      <c r="K55" s="7">
        <f>K60/K50*B52</f>
        <v>2.4348472431876003</v>
      </c>
      <c r="L55" s="7">
        <f>L60/L50*B52</f>
        <v>2.6689729506835351</v>
      </c>
      <c r="M55" s="7">
        <f>M60/M50/B52</f>
        <v>2.8830691813860425</v>
      </c>
      <c r="N55" s="7"/>
    </row>
    <row r="58" spans="2:14" x14ac:dyDescent="0.35">
      <c r="B58" s="52"/>
      <c r="C58" s="52" t="s">
        <v>4</v>
      </c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</row>
    <row r="59" spans="2:14" x14ac:dyDescent="0.35">
      <c r="B59" s="52"/>
      <c r="C59" s="29">
        <v>2010</v>
      </c>
      <c r="D59" s="29">
        <v>2011</v>
      </c>
      <c r="E59" s="29">
        <v>2012</v>
      </c>
      <c r="F59" s="29">
        <v>2013</v>
      </c>
      <c r="G59" s="29">
        <v>2014</v>
      </c>
      <c r="H59" s="29">
        <v>2015</v>
      </c>
      <c r="I59" s="29">
        <v>2016</v>
      </c>
      <c r="J59" s="29">
        <v>2017</v>
      </c>
      <c r="K59" s="29">
        <v>2018</v>
      </c>
      <c r="L59" s="29">
        <v>2019</v>
      </c>
      <c r="M59" s="29">
        <v>2020</v>
      </c>
      <c r="N59" s="29">
        <v>2021</v>
      </c>
    </row>
    <row r="60" spans="2:14" x14ac:dyDescent="0.35">
      <c r="B60" s="3" t="s">
        <v>14</v>
      </c>
      <c r="C60" s="30">
        <v>3860827</v>
      </c>
      <c r="D60" s="30">
        <v>4423554</v>
      </c>
      <c r="E60" s="30">
        <v>5410513</v>
      </c>
      <c r="F60" s="30">
        <v>9425919</v>
      </c>
      <c r="G60" s="30">
        <v>10136557</v>
      </c>
      <c r="H60" s="30">
        <v>10143426</v>
      </c>
      <c r="I60" s="30">
        <v>10536558</v>
      </c>
      <c r="J60" s="30">
        <v>10759076</v>
      </c>
      <c r="K60" s="30">
        <v>11263635</v>
      </c>
      <c r="L60" s="30">
        <v>11650534</v>
      </c>
      <c r="M60" s="30">
        <v>11270791</v>
      </c>
      <c r="N60" s="30">
        <v>11845631</v>
      </c>
    </row>
    <row r="61" spans="2:14" x14ac:dyDescent="0.35">
      <c r="B61" s="4" t="s">
        <v>8</v>
      </c>
      <c r="C61" s="30"/>
      <c r="D61" s="30">
        <f t="shared" ref="D61:M61" si="2">D60-C60</f>
        <v>562727</v>
      </c>
      <c r="E61" s="30">
        <f t="shared" si="2"/>
        <v>986959</v>
      </c>
      <c r="F61" s="30">
        <f t="shared" si="2"/>
        <v>4015406</v>
      </c>
      <c r="G61" s="30">
        <f t="shared" si="2"/>
        <v>710638</v>
      </c>
      <c r="H61" s="30">
        <f t="shared" si="2"/>
        <v>6869</v>
      </c>
      <c r="I61" s="43">
        <f t="shared" si="2"/>
        <v>393132</v>
      </c>
      <c r="J61" s="33">
        <f t="shared" si="2"/>
        <v>222518</v>
      </c>
      <c r="K61" s="43">
        <f t="shared" si="2"/>
        <v>504559</v>
      </c>
      <c r="L61" s="43">
        <f t="shared" si="2"/>
        <v>386899</v>
      </c>
      <c r="M61" s="43">
        <f t="shared" si="2"/>
        <v>-379743</v>
      </c>
      <c r="N61" s="43">
        <f>N60-M60</f>
        <v>574840</v>
      </c>
    </row>
    <row r="62" spans="2:14" x14ac:dyDescent="0.35">
      <c r="B62" s="25">
        <v>1</v>
      </c>
      <c r="C62" s="35"/>
      <c r="D62" s="36">
        <f>D61/C60*B62</f>
        <v>0.14575296950627417</v>
      </c>
      <c r="E62" s="36">
        <f>E61/D60*B62</f>
        <v>0.22311449119870583</v>
      </c>
      <c r="F62" s="36">
        <f>F61/E60*B62</f>
        <v>0.7421488498410409</v>
      </c>
      <c r="G62" s="36">
        <f>G61/F60*B62</f>
        <v>7.5391906083640228E-2</v>
      </c>
      <c r="H62" s="36">
        <f>H61/G60*B62</f>
        <v>6.7764626588692788E-4</v>
      </c>
      <c r="I62" s="36">
        <f>I61/H60*B62</f>
        <v>3.8757319272600795E-2</v>
      </c>
      <c r="J62" s="36">
        <f>J61/I60*B62</f>
        <v>2.1118661331337996E-2</v>
      </c>
      <c r="K62" s="36">
        <f>K61/J60*B62</f>
        <v>4.6896127511321606E-2</v>
      </c>
      <c r="L62" s="36">
        <f>L61/K60*B62</f>
        <v>3.4349390760620352E-2</v>
      </c>
      <c r="M62" s="36">
        <f>M61/L60*B62</f>
        <v>-3.2594471635377403E-2</v>
      </c>
      <c r="N62" s="36">
        <f>N61/M60*B62</f>
        <v>5.1002631492323834E-2</v>
      </c>
    </row>
    <row r="66" spans="2:14" x14ac:dyDescent="0.35">
      <c r="B66" s="52"/>
      <c r="C66" s="52" t="s">
        <v>4</v>
      </c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</row>
    <row r="67" spans="2:14" x14ac:dyDescent="0.35">
      <c r="B67" s="52"/>
      <c r="C67" s="35">
        <v>2010</v>
      </c>
      <c r="D67" s="35">
        <v>2011</v>
      </c>
      <c r="E67" s="35">
        <v>2012</v>
      </c>
      <c r="F67" s="35">
        <v>2013</v>
      </c>
      <c r="G67" s="35">
        <v>2014</v>
      </c>
      <c r="H67" s="35">
        <v>2015</v>
      </c>
      <c r="I67" s="35">
        <v>2016</v>
      </c>
      <c r="J67" s="35">
        <v>2017</v>
      </c>
      <c r="K67" s="35">
        <v>2018</v>
      </c>
      <c r="L67" s="35">
        <v>2019</v>
      </c>
      <c r="M67" s="35">
        <v>2020</v>
      </c>
      <c r="N67" s="35">
        <v>2021</v>
      </c>
    </row>
    <row r="68" spans="2:14" x14ac:dyDescent="0.35">
      <c r="B68" s="3" t="s">
        <v>15</v>
      </c>
      <c r="C68" s="30">
        <v>6255109</v>
      </c>
      <c r="D68" s="30">
        <v>7363659</v>
      </c>
      <c r="E68" s="30">
        <v>8277485</v>
      </c>
      <c r="F68" s="30">
        <v>10701988</v>
      </c>
      <c r="G68" s="30">
        <v>12255427</v>
      </c>
      <c r="H68" s="30">
        <v>11723787</v>
      </c>
      <c r="I68" s="30">
        <v>12806867</v>
      </c>
      <c r="J68" s="30">
        <v>13549857</v>
      </c>
      <c r="K68" s="30">
        <v>15356381</v>
      </c>
      <c r="L68" s="30">
        <v>15444775</v>
      </c>
      <c r="M68" s="30">
        <v>11869221</v>
      </c>
      <c r="N68" s="30">
        <v>15151663</v>
      </c>
    </row>
    <row r="69" spans="2:14" x14ac:dyDescent="0.35">
      <c r="B69" s="4" t="s">
        <v>8</v>
      </c>
      <c r="C69" s="30"/>
      <c r="D69" s="30">
        <f t="shared" ref="D69:M69" si="3">D68-C68</f>
        <v>1108550</v>
      </c>
      <c r="E69" s="30">
        <f t="shared" si="3"/>
        <v>913826</v>
      </c>
      <c r="F69" s="30">
        <f t="shared" si="3"/>
        <v>2424503</v>
      </c>
      <c r="G69" s="30">
        <f t="shared" si="3"/>
        <v>1553439</v>
      </c>
      <c r="H69" s="44">
        <f t="shared" si="3"/>
        <v>-531640</v>
      </c>
      <c r="I69" s="43">
        <f t="shared" si="3"/>
        <v>1083080</v>
      </c>
      <c r="J69" s="33">
        <f t="shared" si="3"/>
        <v>742990</v>
      </c>
      <c r="K69" s="43">
        <f t="shared" si="3"/>
        <v>1806524</v>
      </c>
      <c r="L69" s="43">
        <f t="shared" si="3"/>
        <v>88394</v>
      </c>
      <c r="M69" s="43">
        <f t="shared" si="3"/>
        <v>-3575554</v>
      </c>
      <c r="N69" s="43">
        <f>N68-M68</f>
        <v>3282442</v>
      </c>
    </row>
    <row r="70" spans="2:14" x14ac:dyDescent="0.35">
      <c r="B70" s="25">
        <v>1</v>
      </c>
      <c r="C70" s="35"/>
      <c r="D70" s="36">
        <f>D69/C68*B70</f>
        <v>0.17722313072402096</v>
      </c>
      <c r="E70" s="36">
        <f>E69/D68*B70</f>
        <v>0.12409944566960529</v>
      </c>
      <c r="F70" s="36">
        <f>F69/E68*B70</f>
        <v>0.29290333960134024</v>
      </c>
      <c r="G70" s="36">
        <f>G69/F68*B70</f>
        <v>0.14515424610829314</v>
      </c>
      <c r="H70" s="45">
        <f>H69/G68*B70</f>
        <v>-4.3379965463463656E-2</v>
      </c>
      <c r="I70" s="36">
        <f>I69/H68*B70</f>
        <v>9.2383118185275795E-2</v>
      </c>
      <c r="J70" s="36">
        <f>J69/I68*B70</f>
        <v>5.8014969625279939E-2</v>
      </c>
      <c r="K70" s="36">
        <f>K69/J68*B70</f>
        <v>0.13332421146584794</v>
      </c>
      <c r="L70" s="36">
        <f>L69/K68*B70</f>
        <v>5.7561739318658482E-3</v>
      </c>
      <c r="M70" s="36">
        <f>M69/L68*B70</f>
        <v>-0.23150573575853323</v>
      </c>
      <c r="N70" s="36">
        <f>N69/M68*B70</f>
        <v>0.27655075257255718</v>
      </c>
    </row>
    <row r="71" spans="2:14" x14ac:dyDescent="0.35">
      <c r="C71" s="32"/>
      <c r="D71" s="32"/>
      <c r="E71" s="32"/>
      <c r="F71" s="32"/>
      <c r="G71" s="32"/>
      <c r="H71" s="7"/>
      <c r="I71" s="7"/>
      <c r="J71" s="7"/>
      <c r="K71" s="7"/>
      <c r="L71" s="7"/>
      <c r="M71" s="7"/>
      <c r="N71" s="7"/>
    </row>
    <row r="74" spans="2:14" x14ac:dyDescent="0.35">
      <c r="B74" s="52"/>
      <c r="C74" s="52" t="s">
        <v>4</v>
      </c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</row>
    <row r="75" spans="2:14" x14ac:dyDescent="0.35">
      <c r="B75" s="52"/>
      <c r="C75" s="35">
        <v>2010</v>
      </c>
      <c r="D75" s="35">
        <v>2011</v>
      </c>
      <c r="E75" s="35">
        <v>2012</v>
      </c>
      <c r="F75" s="35">
        <v>2013</v>
      </c>
      <c r="G75" s="35">
        <v>2014</v>
      </c>
      <c r="H75" s="35">
        <v>2015</v>
      </c>
      <c r="I75" s="35">
        <v>2016</v>
      </c>
      <c r="J75" s="35">
        <v>2017</v>
      </c>
      <c r="K75" s="35">
        <v>2018</v>
      </c>
      <c r="L75" s="35">
        <v>2019</v>
      </c>
      <c r="M75" s="35">
        <v>2020</v>
      </c>
      <c r="N75" s="3">
        <v>2021</v>
      </c>
    </row>
    <row r="76" spans="2:14" x14ac:dyDescent="0.35">
      <c r="B76" s="3" t="s">
        <v>18</v>
      </c>
      <c r="C76" s="30">
        <v>892195</v>
      </c>
      <c r="D76" s="30">
        <v>1183940</v>
      </c>
      <c r="E76" s="30">
        <v>1328681</v>
      </c>
      <c r="F76" s="30">
        <v>1489039</v>
      </c>
      <c r="G76" s="30">
        <v>1920464</v>
      </c>
      <c r="H76" s="30">
        <v>1849891</v>
      </c>
      <c r="I76" s="30">
        <v>1899822</v>
      </c>
      <c r="J76" s="30">
        <v>2296170</v>
      </c>
      <c r="K76" s="30">
        <v>2418362</v>
      </c>
      <c r="L76" s="30">
        <v>2313039</v>
      </c>
      <c r="M76" s="30">
        <v>1883235</v>
      </c>
      <c r="N76" s="5"/>
    </row>
    <row r="77" spans="2:14" x14ac:dyDescent="0.35">
      <c r="B77" s="4" t="s">
        <v>8</v>
      </c>
      <c r="C77" s="30"/>
      <c r="D77" s="30">
        <f>D76-C76</f>
        <v>291745</v>
      </c>
      <c r="E77" s="30">
        <f t="shared" ref="E77:M77" si="4">E76-D76</f>
        <v>144741</v>
      </c>
      <c r="F77" s="30">
        <f t="shared" si="4"/>
        <v>160358</v>
      </c>
      <c r="G77" s="30">
        <f t="shared" si="4"/>
        <v>431425</v>
      </c>
      <c r="H77" s="30">
        <f t="shared" si="4"/>
        <v>-70573</v>
      </c>
      <c r="I77" s="43">
        <f t="shared" si="4"/>
        <v>49931</v>
      </c>
      <c r="J77" s="33">
        <f t="shared" si="4"/>
        <v>396348</v>
      </c>
      <c r="K77" s="43">
        <f t="shared" si="4"/>
        <v>122192</v>
      </c>
      <c r="L77" s="47">
        <f t="shared" si="4"/>
        <v>-105323</v>
      </c>
      <c r="M77" s="47">
        <f t="shared" si="4"/>
        <v>-429804</v>
      </c>
      <c r="N77" s="6"/>
    </row>
    <row r="78" spans="2:14" x14ac:dyDescent="0.35">
      <c r="B78" s="25">
        <v>1</v>
      </c>
      <c r="C78" s="35"/>
      <c r="D78" s="36">
        <f>D77/C76*B78</f>
        <v>0.32699690090170869</v>
      </c>
      <c r="E78" s="36">
        <f>E77/D76*B78</f>
        <v>0.12225366150311671</v>
      </c>
      <c r="F78" s="36">
        <f>F77/E76*B78</f>
        <v>0.12068961624347756</v>
      </c>
      <c r="G78" s="36">
        <f>G77/F76*B78</f>
        <v>0.2897338484754261</v>
      </c>
      <c r="H78" s="36">
        <f>H77/G76*B78</f>
        <v>-3.6747890093227473E-2</v>
      </c>
      <c r="I78" s="36">
        <f>I77/H76*B78</f>
        <v>2.6991320029126041E-2</v>
      </c>
      <c r="J78" s="36">
        <f>J77/I76*B78</f>
        <v>0.20862375527812604</v>
      </c>
      <c r="K78" s="36">
        <f>K77/J76*B78</f>
        <v>5.3215572017751296E-2</v>
      </c>
      <c r="L78" s="45">
        <f>L77/K76*B78</f>
        <v>-4.3551378991234561E-2</v>
      </c>
      <c r="M78" s="45">
        <f>M77/L76*B78</f>
        <v>-0.18581787855717088</v>
      </c>
      <c r="N78" s="25"/>
    </row>
    <row r="82" spans="2:14" x14ac:dyDescent="0.35">
      <c r="B82" s="56"/>
      <c r="C82" s="58" t="s">
        <v>4</v>
      </c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60"/>
    </row>
    <row r="83" spans="2:14" x14ac:dyDescent="0.35">
      <c r="B83" s="57"/>
      <c r="C83" s="35">
        <v>2010</v>
      </c>
      <c r="D83" s="35">
        <v>2011</v>
      </c>
      <c r="E83" s="35">
        <v>2012</v>
      </c>
      <c r="F83" s="35">
        <v>2013</v>
      </c>
      <c r="G83" s="35">
        <v>2014</v>
      </c>
      <c r="H83" s="35">
        <v>2015</v>
      </c>
      <c r="I83" s="35">
        <v>2016</v>
      </c>
      <c r="J83" s="35">
        <v>2017</v>
      </c>
      <c r="K83" s="35">
        <v>2018</v>
      </c>
      <c r="L83" s="35">
        <v>2019</v>
      </c>
      <c r="M83" s="35">
        <v>2020</v>
      </c>
      <c r="N83" s="29" t="s">
        <v>19</v>
      </c>
    </row>
    <row r="84" spans="2:14" x14ac:dyDescent="0.35">
      <c r="B84" s="3" t="s">
        <v>17</v>
      </c>
      <c r="C84" s="30">
        <v>1152626</v>
      </c>
      <c r="D84" s="30">
        <v>1237601</v>
      </c>
      <c r="E84" s="30">
        <v>1356275</v>
      </c>
      <c r="F84" s="30">
        <v>1654171</v>
      </c>
      <c r="G84" s="30">
        <v>1755315</v>
      </c>
      <c r="H84" s="30">
        <v>1730740</v>
      </c>
      <c r="I84" s="30">
        <v>1852816</v>
      </c>
      <c r="J84" s="30">
        <v>1756079</v>
      </c>
      <c r="K84" s="30">
        <v>1872849</v>
      </c>
      <c r="L84" s="30">
        <v>2188244</v>
      </c>
      <c r="M84" s="30">
        <v>1580106</v>
      </c>
      <c r="N84" s="30">
        <v>1860738</v>
      </c>
    </row>
    <row r="85" spans="2:14" x14ac:dyDescent="0.35">
      <c r="B85" s="4" t="s">
        <v>8</v>
      </c>
      <c r="C85" s="30"/>
      <c r="D85" s="30">
        <f>D84-C84</f>
        <v>84975</v>
      </c>
      <c r="E85" s="30">
        <f t="shared" ref="E85" si="5">E84-D84</f>
        <v>118674</v>
      </c>
      <c r="F85" s="30">
        <f t="shared" ref="F85" si="6">F84-E84</f>
        <v>297896</v>
      </c>
      <c r="G85" s="30">
        <f t="shared" ref="G85" si="7">G84-F84</f>
        <v>101144</v>
      </c>
      <c r="H85" s="30">
        <f t="shared" ref="H85" si="8">H84-G84</f>
        <v>-24575</v>
      </c>
      <c r="I85" s="43">
        <f t="shared" ref="I85" si="9">I84-H84</f>
        <v>122076</v>
      </c>
      <c r="J85" s="46">
        <f t="shared" ref="J85" si="10">J84-I84</f>
        <v>-96737</v>
      </c>
      <c r="K85" s="43">
        <f t="shared" ref="K85" si="11">K84-J84</f>
        <v>116770</v>
      </c>
      <c r="L85" s="43">
        <f t="shared" ref="L85" si="12">L84-K84</f>
        <v>315395</v>
      </c>
      <c r="M85" s="47">
        <f t="shared" ref="M85" si="13">M84-L84</f>
        <v>-608138</v>
      </c>
      <c r="N85" s="43">
        <f>N84-M84</f>
        <v>280632</v>
      </c>
    </row>
    <row r="86" spans="2:14" x14ac:dyDescent="0.35">
      <c r="B86" s="25">
        <v>1</v>
      </c>
      <c r="C86" s="35"/>
      <c r="D86" s="36">
        <f>D85/C84*B86</f>
        <v>7.3722959572315741E-2</v>
      </c>
      <c r="E86" s="36">
        <f>E85/D84*B86</f>
        <v>9.5890355615420475E-2</v>
      </c>
      <c r="F86" s="36">
        <f>F85/E84*B86</f>
        <v>0.21964277156181453</v>
      </c>
      <c r="G86" s="36">
        <f>G85/F84*B86</f>
        <v>6.1144827227656635E-2</v>
      </c>
      <c r="H86" s="36">
        <f>H85/G84*B86</f>
        <v>-1.4000336122006591E-2</v>
      </c>
      <c r="I86" s="36">
        <f>I85/H84*B86</f>
        <v>7.0533991240740959E-2</v>
      </c>
      <c r="J86" s="45">
        <f>J85/I84*B86</f>
        <v>-5.2210796970665191E-2</v>
      </c>
      <c r="K86" s="36">
        <f>K85/J84*B86</f>
        <v>6.6494730590138593E-2</v>
      </c>
      <c r="L86" s="36">
        <f>L85/K84*B86</f>
        <v>0.16840385957437037</v>
      </c>
      <c r="M86" s="45">
        <f>M85/L84*B86</f>
        <v>-0.2779114212126253</v>
      </c>
      <c r="N86" s="36">
        <f>N85/M84*B86</f>
        <v>0.17760327471701265</v>
      </c>
    </row>
    <row r="90" spans="2:14" x14ac:dyDescent="0.35">
      <c r="B90" s="52"/>
      <c r="C90" s="52" t="s">
        <v>4</v>
      </c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</row>
    <row r="91" spans="2:14" x14ac:dyDescent="0.35">
      <c r="B91" s="52"/>
      <c r="C91" s="35">
        <v>2010</v>
      </c>
      <c r="D91" s="35">
        <v>2011</v>
      </c>
      <c r="E91" s="35">
        <v>2012</v>
      </c>
      <c r="F91" s="35">
        <v>2013</v>
      </c>
      <c r="G91" s="35">
        <v>2014</v>
      </c>
      <c r="H91" s="35">
        <v>2015</v>
      </c>
      <c r="I91" s="35">
        <v>2016</v>
      </c>
      <c r="J91" s="35">
        <v>2017</v>
      </c>
      <c r="K91" s="35">
        <v>2018</v>
      </c>
      <c r="L91" s="35">
        <v>2019</v>
      </c>
      <c r="M91" s="3">
        <v>2020</v>
      </c>
      <c r="N91" s="35">
        <v>2021</v>
      </c>
    </row>
    <row r="92" spans="2:14" x14ac:dyDescent="0.35">
      <c r="B92" s="3" t="s">
        <v>16</v>
      </c>
      <c r="C92" s="30">
        <v>1141179</v>
      </c>
      <c r="D92" s="30">
        <v>1006716</v>
      </c>
      <c r="E92" s="30">
        <v>1053246</v>
      </c>
      <c r="F92" s="30">
        <v>948013</v>
      </c>
      <c r="G92" s="30">
        <v>871659</v>
      </c>
      <c r="H92" s="30">
        <v>318567</v>
      </c>
      <c r="I92" s="30">
        <v>418203</v>
      </c>
      <c r="J92" s="30">
        <v>551406</v>
      </c>
      <c r="K92" s="30">
        <v>610985</v>
      </c>
      <c r="L92" s="30">
        <v>739672</v>
      </c>
      <c r="M92" s="44">
        <v>-41129</v>
      </c>
      <c r="N92" s="30">
        <v>634931</v>
      </c>
    </row>
    <row r="93" spans="2:14" x14ac:dyDescent="0.35">
      <c r="B93" s="4" t="s">
        <v>8</v>
      </c>
      <c r="C93" s="30"/>
      <c r="D93" s="30">
        <f t="shared" ref="D93" si="14">D92-C92</f>
        <v>-134463</v>
      </c>
      <c r="E93" s="30">
        <f t="shared" ref="E93" si="15">E92-D92</f>
        <v>46530</v>
      </c>
      <c r="F93" s="30">
        <f t="shared" ref="F93" si="16">F92-E92</f>
        <v>-105233</v>
      </c>
      <c r="G93" s="44">
        <f t="shared" ref="G93" si="17">G92-F92</f>
        <v>-76354</v>
      </c>
      <c r="H93" s="30">
        <f t="shared" ref="H93" si="18">H92-G92</f>
        <v>-553092</v>
      </c>
      <c r="I93" s="43">
        <f t="shared" ref="I93" si="19">I92-H92</f>
        <v>99636</v>
      </c>
      <c r="J93" s="33">
        <f t="shared" ref="J93" si="20">J92-I92</f>
        <v>133203</v>
      </c>
      <c r="K93" s="43">
        <f t="shared" ref="K93" si="21">K92-J92</f>
        <v>59579</v>
      </c>
      <c r="L93" s="43">
        <f t="shared" ref="L93" si="22">L92-K92</f>
        <v>128687</v>
      </c>
      <c r="M93" s="47">
        <f>M92-L92</f>
        <v>-780801</v>
      </c>
      <c r="N93" s="43">
        <f>N92-M92</f>
        <v>676060</v>
      </c>
    </row>
    <row r="94" spans="2:14" x14ac:dyDescent="0.35">
      <c r="B94" s="25">
        <v>1</v>
      </c>
      <c r="C94" s="35"/>
      <c r="D94" s="36">
        <f>D93/C92*B94</f>
        <v>-0.11782814089638874</v>
      </c>
      <c r="E94" s="36">
        <f>E93/D92*B94</f>
        <v>4.6219589238673073E-2</v>
      </c>
      <c r="F94" s="36">
        <f>F93/E92*B94</f>
        <v>-9.9913030763943089E-2</v>
      </c>
      <c r="G94" s="45">
        <f>G93/F92*B94</f>
        <v>-8.0541089626408074E-2</v>
      </c>
      <c r="H94" s="36">
        <f>H93/G92*B94</f>
        <v>-0.63452795187108724</v>
      </c>
      <c r="I94" s="36">
        <f>I93/H92*B94</f>
        <v>0.31276309222235826</v>
      </c>
      <c r="J94" s="36">
        <f>J93/I92*B94</f>
        <v>0.31851277967876845</v>
      </c>
      <c r="K94" s="36">
        <f>K93/J92*B94</f>
        <v>0.1080492413938187</v>
      </c>
      <c r="L94" s="36">
        <f>L93/K92*B94</f>
        <v>0.21062219203417432</v>
      </c>
      <c r="M94" s="45">
        <f>M93/L92*B94</f>
        <v>-1.0556043759936837</v>
      </c>
      <c r="N94" s="36">
        <f>N93/M92*B94</f>
        <v>-16.437550147098154</v>
      </c>
    </row>
    <row r="98" spans="2:14" x14ac:dyDescent="0.35"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</row>
    <row r="99" spans="2:14" x14ac:dyDescent="0.35">
      <c r="B99" s="50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</row>
    <row r="100" spans="2:14" x14ac:dyDescent="0.35">
      <c r="B100" s="39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</row>
    <row r="101" spans="2:14" x14ac:dyDescent="0.35">
      <c r="B101" s="40"/>
      <c r="C101" s="37"/>
      <c r="D101" s="37"/>
      <c r="E101" s="37"/>
      <c r="F101" s="37"/>
      <c r="G101" s="37"/>
      <c r="H101" s="37"/>
      <c r="I101" s="41"/>
      <c r="J101" s="42"/>
      <c r="K101" s="41"/>
      <c r="L101" s="41"/>
      <c r="M101" s="41"/>
      <c r="N101" s="41"/>
    </row>
    <row r="102" spans="2:14" x14ac:dyDescent="0.35">
      <c r="B102" s="38"/>
      <c r="C102" s="39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</row>
    <row r="106" spans="2:14" x14ac:dyDescent="0.35"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</row>
    <row r="107" spans="2:14" x14ac:dyDescent="0.35">
      <c r="B107" s="52"/>
      <c r="C107" s="35"/>
      <c r="D107" s="35"/>
      <c r="E107" s="39"/>
      <c r="F107" s="39"/>
      <c r="G107" s="39"/>
      <c r="H107" s="3"/>
      <c r="I107" s="3"/>
      <c r="J107" s="3"/>
      <c r="K107" s="3"/>
      <c r="L107" s="3"/>
      <c r="M107" s="3"/>
      <c r="N107" s="3"/>
    </row>
    <row r="108" spans="2:14" x14ac:dyDescent="0.35">
      <c r="B108" s="3"/>
      <c r="C108" s="30"/>
      <c r="D108" s="30"/>
      <c r="E108" s="37"/>
      <c r="F108" s="37"/>
      <c r="G108" s="37"/>
      <c r="H108" s="5"/>
      <c r="I108" s="5"/>
      <c r="J108" s="27"/>
      <c r="K108" s="5"/>
      <c r="L108" s="5"/>
      <c r="M108" s="27"/>
      <c r="N108" s="5"/>
    </row>
    <row r="109" spans="2:14" x14ac:dyDescent="0.35">
      <c r="B109" s="4"/>
      <c r="C109" s="30"/>
      <c r="D109" s="30"/>
      <c r="E109" s="37"/>
      <c r="F109" s="37"/>
      <c r="G109" s="37"/>
      <c r="H109" s="5"/>
      <c r="I109" s="6"/>
      <c r="J109" s="26"/>
      <c r="K109" s="6"/>
      <c r="L109" s="6"/>
      <c r="M109" s="28"/>
      <c r="N109" s="6"/>
    </row>
    <row r="110" spans="2:14" x14ac:dyDescent="0.35">
      <c r="B110" s="25"/>
      <c r="C110" s="35"/>
      <c r="D110" s="36"/>
      <c r="E110" s="38"/>
      <c r="F110" s="38"/>
      <c r="G110" s="38"/>
      <c r="H110" s="25"/>
      <c r="I110" s="25"/>
      <c r="J110" s="18"/>
      <c r="K110" s="25"/>
      <c r="L110" s="25"/>
      <c r="M110" s="18"/>
      <c r="N110" s="25"/>
    </row>
  </sheetData>
  <mergeCells count="19">
    <mergeCell ref="B106:B107"/>
    <mergeCell ref="C106:N106"/>
    <mergeCell ref="C27:M27"/>
    <mergeCell ref="B39:B40"/>
    <mergeCell ref="C39:N39"/>
    <mergeCell ref="B90:B91"/>
    <mergeCell ref="C90:N90"/>
    <mergeCell ref="B82:B83"/>
    <mergeCell ref="C82:N82"/>
    <mergeCell ref="B66:B67"/>
    <mergeCell ref="C66:N66"/>
    <mergeCell ref="B74:B75"/>
    <mergeCell ref="C74:N74"/>
    <mergeCell ref="B48:B49"/>
    <mergeCell ref="C48:N48"/>
    <mergeCell ref="B58:B59"/>
    <mergeCell ref="C58:N58"/>
    <mergeCell ref="B98:B99"/>
    <mergeCell ref="C98:N9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R63"/>
  <sheetViews>
    <sheetView topLeftCell="C46" zoomScaleNormal="100" workbookViewId="0">
      <selection activeCell="H56" sqref="H56"/>
    </sheetView>
  </sheetViews>
  <sheetFormatPr defaultRowHeight="14.5" x14ac:dyDescent="0.35"/>
  <cols>
    <col min="3" max="3" width="17.453125" customWidth="1"/>
    <col min="4" max="4" width="19.36328125" customWidth="1"/>
    <col min="5" max="5" width="20.453125" customWidth="1"/>
    <col min="7" max="8" width="12" customWidth="1"/>
    <col min="11" max="11" width="11.54296875" customWidth="1"/>
    <col min="12" max="12" width="11.7265625" customWidth="1"/>
    <col min="15" max="17" width="12.7265625" customWidth="1"/>
  </cols>
  <sheetData>
    <row r="3" spans="3:17" x14ac:dyDescent="0.35">
      <c r="C3" t="s">
        <v>24</v>
      </c>
    </row>
    <row r="6" spans="3:17" x14ac:dyDescent="0.35">
      <c r="C6" s="52" t="s">
        <v>22</v>
      </c>
      <c r="D6" s="52"/>
      <c r="E6" s="52"/>
      <c r="G6" s="52" t="s">
        <v>23</v>
      </c>
      <c r="H6" s="52"/>
      <c r="I6" s="52"/>
      <c r="K6" s="52" t="s">
        <v>25</v>
      </c>
      <c r="L6" s="52"/>
      <c r="M6" s="52"/>
      <c r="O6" s="52" t="s">
        <v>55</v>
      </c>
      <c r="P6" s="52"/>
      <c r="Q6" s="52"/>
    </row>
    <row r="7" spans="3:17" x14ac:dyDescent="0.35">
      <c r="C7" s="3" t="s">
        <v>20</v>
      </c>
      <c r="D7" s="5">
        <v>3616140</v>
      </c>
      <c r="E7" s="53">
        <f>D9/D7*100%</f>
        <v>0.12753322603660255</v>
      </c>
      <c r="G7" s="3" t="s">
        <v>20</v>
      </c>
      <c r="H7" s="5">
        <v>7151377</v>
      </c>
      <c r="I7" s="53">
        <f>H9/H7*100%</f>
        <v>0.12452007494500709</v>
      </c>
      <c r="K7" s="3" t="s">
        <v>20</v>
      </c>
      <c r="L7" s="5">
        <v>11040522</v>
      </c>
      <c r="M7" s="53">
        <f>L9/L7*100%</f>
        <v>0.1258480350838484</v>
      </c>
      <c r="O7" s="3" t="s">
        <v>20</v>
      </c>
      <c r="P7" s="5">
        <v>15151663</v>
      </c>
      <c r="Q7" s="53">
        <f>P9/P7*100%</f>
        <v>0.79177453986404001</v>
      </c>
    </row>
    <row r="8" spans="3:17" x14ac:dyDescent="0.35">
      <c r="C8" s="3" t="s">
        <v>21</v>
      </c>
      <c r="D8" s="5">
        <v>3154962</v>
      </c>
      <c r="E8" s="53"/>
      <c r="G8" s="3" t="s">
        <v>21</v>
      </c>
      <c r="H8" s="5">
        <v>6260887</v>
      </c>
      <c r="I8" s="53"/>
      <c r="K8" s="3" t="s">
        <v>21</v>
      </c>
      <c r="L8" s="5">
        <v>9651094</v>
      </c>
      <c r="M8" s="53"/>
      <c r="O8" s="3" t="s">
        <v>21</v>
      </c>
      <c r="P8" s="3">
        <v>3154962</v>
      </c>
      <c r="Q8" s="53"/>
    </row>
    <row r="9" spans="3:17" x14ac:dyDescent="0.35">
      <c r="C9" s="3"/>
      <c r="D9" s="6">
        <f>D7-D8</f>
        <v>461178</v>
      </c>
      <c r="E9" s="53"/>
      <c r="G9" s="3"/>
      <c r="H9" s="6">
        <f>H7-H8</f>
        <v>890490</v>
      </c>
      <c r="I9" s="53"/>
      <c r="K9" s="3"/>
      <c r="L9" s="6">
        <f>L7-L8</f>
        <v>1389428</v>
      </c>
      <c r="M9" s="53"/>
      <c r="O9" s="3"/>
      <c r="P9" s="6">
        <f>P7-P8</f>
        <v>11996701</v>
      </c>
      <c r="Q9" s="53"/>
    </row>
    <row r="13" spans="3:17" x14ac:dyDescent="0.35">
      <c r="C13" s="52" t="s">
        <v>26</v>
      </c>
      <c r="D13" s="52"/>
      <c r="E13" s="52"/>
      <c r="G13" s="52" t="s">
        <v>30</v>
      </c>
      <c r="H13" s="52"/>
      <c r="I13" s="52"/>
      <c r="K13" s="52" t="s">
        <v>28</v>
      </c>
      <c r="L13" s="52"/>
      <c r="M13" s="52"/>
      <c r="O13" s="52" t="s">
        <v>56</v>
      </c>
      <c r="P13" s="52"/>
      <c r="Q13" s="52"/>
    </row>
    <row r="14" spans="3:17" x14ac:dyDescent="0.35">
      <c r="C14" s="3" t="s">
        <v>20</v>
      </c>
      <c r="D14" s="5">
        <v>3616140</v>
      </c>
      <c r="E14" s="53">
        <f>D15/D14*100%</f>
        <v>4.7349936672805806E-2</v>
      </c>
      <c r="G14" s="3" t="s">
        <v>20</v>
      </c>
      <c r="H14" s="5">
        <v>7151377</v>
      </c>
      <c r="I14" s="53">
        <f>H15/H14*100%</f>
        <v>3.8073926182328244E-2</v>
      </c>
      <c r="K14" s="3" t="s">
        <v>20</v>
      </c>
      <c r="L14" s="5">
        <v>11040522</v>
      </c>
      <c r="M14" s="53">
        <f>L15/L14*100%</f>
        <v>4.1292612794938503E-2</v>
      </c>
      <c r="O14" s="3" t="s">
        <v>20</v>
      </c>
      <c r="P14" s="5">
        <v>15151663</v>
      </c>
      <c r="Q14" s="53">
        <f>P15/P14*100%</f>
        <v>4.1905037090648072E-2</v>
      </c>
    </row>
    <row r="15" spans="3:17" x14ac:dyDescent="0.35">
      <c r="C15" s="3" t="s">
        <v>27</v>
      </c>
      <c r="D15" s="5">
        <v>171224</v>
      </c>
      <c r="E15" s="53"/>
      <c r="G15" s="3" t="s">
        <v>29</v>
      </c>
      <c r="H15" s="5">
        <v>272281</v>
      </c>
      <c r="I15" s="53"/>
      <c r="K15" s="3" t="s">
        <v>29</v>
      </c>
      <c r="L15" s="5">
        <v>455892</v>
      </c>
      <c r="M15" s="53"/>
      <c r="O15" s="3" t="s">
        <v>29</v>
      </c>
      <c r="P15" s="5">
        <v>634931</v>
      </c>
      <c r="Q15" s="53"/>
    </row>
    <row r="16" spans="3:17" x14ac:dyDescent="0.35">
      <c r="C16" s="3"/>
      <c r="D16" s="6"/>
      <c r="E16" s="53"/>
      <c r="G16" s="3"/>
      <c r="H16" s="6"/>
      <c r="I16" s="53"/>
      <c r="K16" s="3"/>
      <c r="L16" s="6"/>
      <c r="M16" s="53"/>
      <c r="O16" s="3"/>
      <c r="P16" s="6"/>
      <c r="Q16" s="53"/>
    </row>
    <row r="20" spans="3:17" x14ac:dyDescent="0.35">
      <c r="C20" s="52" t="s">
        <v>32</v>
      </c>
      <c r="D20" s="52"/>
      <c r="E20" s="52"/>
      <c r="G20" s="52" t="s">
        <v>37</v>
      </c>
      <c r="H20" s="52"/>
      <c r="I20" s="52"/>
      <c r="K20" s="52" t="s">
        <v>38</v>
      </c>
      <c r="L20" s="52"/>
      <c r="M20" s="52"/>
      <c r="O20" s="52" t="s">
        <v>57</v>
      </c>
      <c r="P20" s="52"/>
      <c r="Q20" s="52"/>
    </row>
    <row r="21" spans="3:17" x14ac:dyDescent="0.35">
      <c r="C21" s="3" t="s">
        <v>20</v>
      </c>
      <c r="D21" s="5">
        <v>3616140</v>
      </c>
      <c r="E21" s="53">
        <f>D22/D21*100%</f>
        <v>5.1222021271300336E-2</v>
      </c>
      <c r="G21" s="3" t="s">
        <v>20</v>
      </c>
      <c r="H21" s="5">
        <v>7151377</v>
      </c>
      <c r="I21" s="53">
        <f>H22/H21*100%</f>
        <v>4.0144576352218603E-2</v>
      </c>
      <c r="K21" s="3" t="s">
        <v>20</v>
      </c>
      <c r="L21" s="5">
        <v>11040522</v>
      </c>
      <c r="M21" s="53">
        <f>L22/L21*100%</f>
        <v>0.14311877644915702</v>
      </c>
      <c r="O21" s="3" t="s">
        <v>20</v>
      </c>
      <c r="P21" s="5">
        <v>15151663</v>
      </c>
      <c r="Q21" s="53">
        <f>P22/P21*100%</f>
        <v>0.1228075096443209</v>
      </c>
    </row>
    <row r="22" spans="3:17" x14ac:dyDescent="0.35">
      <c r="C22" s="3" t="s">
        <v>31</v>
      </c>
      <c r="D22" s="5">
        <v>185226</v>
      </c>
      <c r="E22" s="53"/>
      <c r="G22" s="3" t="s">
        <v>33</v>
      </c>
      <c r="H22" s="5">
        <v>287089</v>
      </c>
      <c r="I22" s="53"/>
      <c r="K22" s="3" t="s">
        <v>31</v>
      </c>
      <c r="L22" s="5">
        <v>1580106</v>
      </c>
      <c r="M22" s="53"/>
      <c r="O22" s="3" t="s">
        <v>33</v>
      </c>
      <c r="P22" s="5">
        <v>1860738</v>
      </c>
      <c r="Q22" s="53"/>
    </row>
    <row r="23" spans="3:17" x14ac:dyDescent="0.35">
      <c r="C23" s="3"/>
      <c r="D23" s="6"/>
      <c r="E23" s="53"/>
      <c r="G23" s="3"/>
      <c r="H23" s="6"/>
      <c r="I23" s="53"/>
      <c r="K23" s="3"/>
      <c r="L23" s="6"/>
      <c r="M23" s="53"/>
      <c r="O23" s="3"/>
      <c r="P23" s="6"/>
      <c r="Q23" s="53"/>
    </row>
    <row r="27" spans="3:17" x14ac:dyDescent="0.35">
      <c r="C27" s="52" t="s">
        <v>34</v>
      </c>
      <c r="D27" s="52"/>
      <c r="E27" s="52"/>
      <c r="G27" s="52" t="s">
        <v>40</v>
      </c>
      <c r="H27" s="52"/>
      <c r="I27" s="52"/>
      <c r="K27" s="52" t="s">
        <v>41</v>
      </c>
      <c r="L27" s="52"/>
      <c r="M27" s="52"/>
      <c r="O27" s="52" t="s">
        <v>58</v>
      </c>
      <c r="P27" s="52"/>
      <c r="Q27" s="52"/>
    </row>
    <row r="28" spans="3:17" x14ac:dyDescent="0.35">
      <c r="C28" s="3" t="s">
        <v>44</v>
      </c>
      <c r="D28" s="5">
        <v>3616140</v>
      </c>
      <c r="E28" s="53" t="s">
        <v>36</v>
      </c>
      <c r="G28" s="3" t="s">
        <v>20</v>
      </c>
      <c r="H28" s="5">
        <v>7151377</v>
      </c>
      <c r="I28" s="53" t="s">
        <v>39</v>
      </c>
      <c r="K28" s="3" t="s">
        <v>20</v>
      </c>
      <c r="L28" s="5">
        <v>11040522</v>
      </c>
      <c r="M28" s="53" t="s">
        <v>42</v>
      </c>
      <c r="O28" s="3" t="s">
        <v>20</v>
      </c>
      <c r="P28" s="5">
        <v>15151663</v>
      </c>
      <c r="Q28" s="53" t="s">
        <v>42</v>
      </c>
    </row>
    <row r="29" spans="3:17" x14ac:dyDescent="0.35">
      <c r="C29" s="3" t="s">
        <v>35</v>
      </c>
      <c r="D29" s="5">
        <v>16010461</v>
      </c>
      <c r="E29" s="53"/>
      <c r="G29" s="3" t="s">
        <v>35</v>
      </c>
      <c r="H29" s="5">
        <v>16082921</v>
      </c>
      <c r="I29" s="53"/>
      <c r="K29" s="3" t="s">
        <v>35</v>
      </c>
      <c r="L29" s="5">
        <v>16652046</v>
      </c>
      <c r="M29" s="53"/>
      <c r="O29" s="3" t="s">
        <v>35</v>
      </c>
      <c r="P29" s="30">
        <v>16947148</v>
      </c>
      <c r="Q29" s="53"/>
    </row>
    <row r="30" spans="3:17" x14ac:dyDescent="0.35">
      <c r="C30" s="3"/>
      <c r="D30" s="6"/>
      <c r="E30" s="53"/>
      <c r="G30" s="3"/>
      <c r="H30" s="6"/>
      <c r="I30" s="53"/>
      <c r="K30" s="3"/>
      <c r="L30" s="6"/>
      <c r="M30" s="53"/>
      <c r="O30" s="3"/>
      <c r="P30" s="6"/>
      <c r="Q30" s="53"/>
    </row>
    <row r="34" spans="3:17" x14ac:dyDescent="0.35">
      <c r="C34" s="52" t="s">
        <v>43</v>
      </c>
      <c r="D34" s="52"/>
      <c r="E34" s="52"/>
      <c r="G34" s="52" t="s">
        <v>43</v>
      </c>
      <c r="H34" s="52"/>
      <c r="I34" s="52"/>
      <c r="K34" s="52" t="s">
        <v>43</v>
      </c>
      <c r="L34" s="52"/>
      <c r="M34" s="52"/>
      <c r="O34" s="52" t="s">
        <v>59</v>
      </c>
      <c r="P34" s="52"/>
      <c r="Q34" s="52"/>
    </row>
    <row r="35" spans="3:17" x14ac:dyDescent="0.35">
      <c r="C35" s="3" t="s">
        <v>45</v>
      </c>
      <c r="D35" s="5">
        <v>461178</v>
      </c>
      <c r="E35" s="53">
        <f>D35/D36*100%</f>
        <v>2.880479206688677E-2</v>
      </c>
      <c r="G35" s="3" t="s">
        <v>46</v>
      </c>
      <c r="H35" s="6">
        <v>890490</v>
      </c>
      <c r="I35" s="53">
        <f>H35/H36*100%</f>
        <v>5.5368673389616228E-2</v>
      </c>
      <c r="K35" s="3" t="s">
        <v>46</v>
      </c>
      <c r="L35" s="5">
        <v>1389428</v>
      </c>
      <c r="M35" s="53">
        <f>L35/L36*100%</f>
        <v>8.3438875919511629E-2</v>
      </c>
      <c r="O35" s="3" t="s">
        <v>46</v>
      </c>
      <c r="P35" s="5">
        <v>1860738</v>
      </c>
      <c r="Q35" s="53">
        <f>P35/P36*100%</f>
        <v>0.10979652741570441</v>
      </c>
    </row>
    <row r="36" spans="3:17" x14ac:dyDescent="0.35">
      <c r="C36" s="3" t="s">
        <v>35</v>
      </c>
      <c r="D36" s="5">
        <v>16010461</v>
      </c>
      <c r="E36" s="53"/>
      <c r="G36" s="3" t="s">
        <v>35</v>
      </c>
      <c r="H36" s="5">
        <v>16082921</v>
      </c>
      <c r="I36" s="53"/>
      <c r="K36" s="3" t="s">
        <v>35</v>
      </c>
      <c r="L36" s="5">
        <v>16652046</v>
      </c>
      <c r="M36" s="53"/>
      <c r="O36" s="3" t="s">
        <v>35</v>
      </c>
      <c r="P36" s="30">
        <v>16947148</v>
      </c>
      <c r="Q36" s="53"/>
    </row>
    <row r="37" spans="3:17" x14ac:dyDescent="0.35">
      <c r="C37" s="3"/>
      <c r="D37" s="6"/>
      <c r="E37" s="53"/>
      <c r="G37" s="3"/>
      <c r="H37" s="6"/>
      <c r="I37" s="53"/>
      <c r="K37" s="3"/>
      <c r="L37" s="6"/>
      <c r="M37" s="53"/>
      <c r="O37" s="3"/>
      <c r="P37" s="6"/>
      <c r="Q37" s="53"/>
    </row>
    <row r="41" spans="3:17" x14ac:dyDescent="0.35">
      <c r="C41" s="52" t="s">
        <v>47</v>
      </c>
      <c r="D41" s="52"/>
      <c r="E41" s="52"/>
      <c r="G41" s="52" t="s">
        <v>49</v>
      </c>
      <c r="H41" s="52"/>
      <c r="I41" s="52"/>
      <c r="K41" s="52" t="s">
        <v>50</v>
      </c>
      <c r="L41" s="52"/>
      <c r="M41" s="52"/>
      <c r="O41" s="52" t="s">
        <v>60</v>
      </c>
      <c r="P41" s="52"/>
      <c r="Q41" s="52"/>
    </row>
    <row r="42" spans="3:17" x14ac:dyDescent="0.35">
      <c r="C42" s="3" t="s">
        <v>45</v>
      </c>
      <c r="D42" s="5">
        <v>461178</v>
      </c>
      <c r="E42" s="53">
        <f>D42/D43*100%</f>
        <v>4.0268037964128305E-2</v>
      </c>
      <c r="G42" s="3" t="s">
        <v>46</v>
      </c>
      <c r="H42" s="6">
        <v>890490</v>
      </c>
      <c r="I42" s="53">
        <f>H42/H43*100%</f>
        <v>7.7603101300504893E-2</v>
      </c>
      <c r="K42" s="3" t="s">
        <v>46</v>
      </c>
      <c r="L42" s="5">
        <v>1389428</v>
      </c>
      <c r="M42" s="53">
        <f>L42/L43*100%</f>
        <v>0.11972206841512166</v>
      </c>
      <c r="O42" s="3" t="s">
        <v>46</v>
      </c>
      <c r="P42" s="5">
        <v>1860738</v>
      </c>
      <c r="Q42" s="53">
        <f>P42/P43*100%</f>
        <v>0.15708221875221337</v>
      </c>
    </row>
    <row r="43" spans="3:17" x14ac:dyDescent="0.35">
      <c r="C43" s="3" t="s">
        <v>48</v>
      </c>
      <c r="D43" s="5">
        <v>11452706</v>
      </c>
      <c r="E43" s="53"/>
      <c r="G43" s="3" t="s">
        <v>48</v>
      </c>
      <c r="H43" s="5">
        <v>11474928</v>
      </c>
      <c r="I43" s="53"/>
      <c r="K43" s="3" t="s">
        <v>48</v>
      </c>
      <c r="L43" s="5">
        <v>11605446</v>
      </c>
      <c r="M43" s="53"/>
      <c r="O43" s="3" t="s">
        <v>48</v>
      </c>
      <c r="P43" s="30">
        <v>11845631</v>
      </c>
      <c r="Q43" s="53"/>
    </row>
    <row r="44" spans="3:17" x14ac:dyDescent="0.35">
      <c r="C44" s="3"/>
      <c r="D44" s="6"/>
      <c r="E44" s="53"/>
      <c r="G44" s="3"/>
      <c r="H44" s="6"/>
      <c r="I44" s="53"/>
      <c r="K44" s="3"/>
      <c r="L44" s="6"/>
      <c r="M44" s="53"/>
      <c r="O44" s="3"/>
      <c r="P44" s="6"/>
      <c r="Q44" s="53"/>
    </row>
    <row r="48" spans="3:17" x14ac:dyDescent="0.35">
      <c r="C48" s="52" t="s">
        <v>47</v>
      </c>
      <c r="D48" s="52"/>
      <c r="E48" s="52"/>
      <c r="G48" s="52" t="s">
        <v>49</v>
      </c>
      <c r="H48" s="52"/>
      <c r="I48" s="52"/>
      <c r="K48" s="50" t="s">
        <v>61</v>
      </c>
      <c r="L48" s="50"/>
      <c r="M48" s="50"/>
      <c r="O48" s="50" t="s">
        <v>61</v>
      </c>
      <c r="P48" s="50"/>
      <c r="Q48" s="50"/>
    </row>
    <row r="49" spans="3:18" x14ac:dyDescent="0.35">
      <c r="C49" s="3" t="s">
        <v>51</v>
      </c>
      <c r="D49" s="5">
        <v>4557755</v>
      </c>
      <c r="E49" s="53">
        <f>D49/D50*100%</f>
        <v>0.3979631538607557</v>
      </c>
      <c r="G49" s="3" t="s">
        <v>52</v>
      </c>
      <c r="H49" s="6">
        <v>4607993</v>
      </c>
      <c r="I49" s="53">
        <f>H49/H50*100%</f>
        <v>0.40157053708746582</v>
      </c>
      <c r="K49" s="39" t="s">
        <v>52</v>
      </c>
      <c r="L49" s="30">
        <v>3909303</v>
      </c>
      <c r="M49" s="51">
        <f>L49/L50</f>
        <v>0.34685258559048782</v>
      </c>
      <c r="O49" s="39" t="s">
        <v>52</v>
      </c>
      <c r="P49" s="30">
        <v>5101517</v>
      </c>
      <c r="Q49" s="51">
        <f>P49/P50</f>
        <v>0.43066654701636409</v>
      </c>
    </row>
    <row r="50" spans="3:18" x14ac:dyDescent="0.35">
      <c r="C50" s="3" t="s">
        <v>48</v>
      </c>
      <c r="D50" s="5">
        <v>11452706</v>
      </c>
      <c r="E50" s="53"/>
      <c r="G50" s="3" t="s">
        <v>48</v>
      </c>
      <c r="H50" s="5">
        <v>11474928</v>
      </c>
      <c r="I50" s="53"/>
      <c r="K50" s="39" t="s">
        <v>48</v>
      </c>
      <c r="L50" s="30">
        <v>11270791</v>
      </c>
      <c r="M50" s="51"/>
      <c r="N50" t="s">
        <v>54</v>
      </c>
      <c r="O50" s="39" t="s">
        <v>48</v>
      </c>
      <c r="P50" s="30">
        <v>11845631</v>
      </c>
      <c r="Q50" s="51"/>
      <c r="R50" t="s">
        <v>54</v>
      </c>
    </row>
    <row r="51" spans="3:18" x14ac:dyDescent="0.35">
      <c r="C51" s="3"/>
      <c r="D51" s="6"/>
      <c r="E51" s="53"/>
      <c r="G51" s="3"/>
      <c r="H51" s="6"/>
      <c r="I51" s="53"/>
      <c r="K51" s="39"/>
      <c r="L51" s="41"/>
      <c r="M51" s="51"/>
      <c r="O51" s="39"/>
      <c r="P51" s="41"/>
      <c r="Q51" s="51"/>
    </row>
    <row r="54" spans="3:18" x14ac:dyDescent="0.35">
      <c r="C54" s="35" t="s">
        <v>70</v>
      </c>
      <c r="D54" s="35"/>
      <c r="E54" s="35"/>
      <c r="F54" s="35"/>
    </row>
    <row r="55" spans="3:18" x14ac:dyDescent="0.35">
      <c r="C55" s="35" t="s">
        <v>62</v>
      </c>
      <c r="D55" s="30">
        <v>16947148000000</v>
      </c>
      <c r="E55" s="54"/>
      <c r="F55" s="35"/>
    </row>
    <row r="56" spans="3:18" x14ac:dyDescent="0.35">
      <c r="C56" s="35" t="s">
        <v>67</v>
      </c>
      <c r="D56" s="30">
        <v>5101517000000</v>
      </c>
      <c r="E56" s="55"/>
      <c r="F56" s="35"/>
    </row>
    <row r="57" spans="3:18" x14ac:dyDescent="0.35">
      <c r="C57" s="35" t="s">
        <v>53</v>
      </c>
      <c r="D57" s="30">
        <v>4819733000</v>
      </c>
      <c r="E57" s="49">
        <f>(D55-D56)/D57</f>
        <v>2457.7359368247162</v>
      </c>
      <c r="F57" s="35" t="s">
        <v>66</v>
      </c>
    </row>
    <row r="58" spans="3:18" x14ac:dyDescent="0.35">
      <c r="C58" s="35" t="s">
        <v>63</v>
      </c>
      <c r="D58" s="30">
        <v>14326</v>
      </c>
      <c r="E58" s="43">
        <v>127</v>
      </c>
      <c r="F58" s="35" t="s">
        <v>69</v>
      </c>
    </row>
    <row r="59" spans="3:18" x14ac:dyDescent="0.35">
      <c r="C59" s="35" t="s">
        <v>65</v>
      </c>
      <c r="D59" s="35">
        <v>1145</v>
      </c>
      <c r="E59" s="35"/>
      <c r="F59" s="35"/>
    </row>
    <row r="60" spans="3:18" x14ac:dyDescent="0.35">
      <c r="C60" s="35" t="s">
        <v>64</v>
      </c>
      <c r="D60" s="49">
        <f>D59/E57</f>
        <v>0.46587592378996107</v>
      </c>
      <c r="E60" s="35" t="s">
        <v>54</v>
      </c>
      <c r="F60" s="35"/>
    </row>
    <row r="61" spans="3:18" x14ac:dyDescent="0.35">
      <c r="C61" s="35" t="s">
        <v>68</v>
      </c>
      <c r="D61" s="43">
        <f>D59/E58</f>
        <v>9.015748031496063</v>
      </c>
      <c r="E61" s="35" t="s">
        <v>54</v>
      </c>
      <c r="F61" s="35"/>
    </row>
    <row r="63" spans="3:18" x14ac:dyDescent="0.35">
      <c r="D63" s="48"/>
    </row>
  </sheetData>
  <mergeCells count="57">
    <mergeCell ref="E55:E56"/>
    <mergeCell ref="Q35:Q37"/>
    <mergeCell ref="O41:Q41"/>
    <mergeCell ref="Q42:Q44"/>
    <mergeCell ref="O48:Q48"/>
    <mergeCell ref="Q49:Q51"/>
    <mergeCell ref="C41:E41"/>
    <mergeCell ref="E42:E44"/>
    <mergeCell ref="G41:I41"/>
    <mergeCell ref="I42:I44"/>
    <mergeCell ref="K41:M41"/>
    <mergeCell ref="M42:M44"/>
    <mergeCell ref="C48:E48"/>
    <mergeCell ref="E49:E51"/>
    <mergeCell ref="G48:I48"/>
    <mergeCell ref="I49:I51"/>
    <mergeCell ref="O20:Q20"/>
    <mergeCell ref="Q21:Q23"/>
    <mergeCell ref="O27:Q27"/>
    <mergeCell ref="Q28:Q30"/>
    <mergeCell ref="O34:Q34"/>
    <mergeCell ref="C27:E27"/>
    <mergeCell ref="E28:E30"/>
    <mergeCell ref="G27:I27"/>
    <mergeCell ref="I28:I30"/>
    <mergeCell ref="K27:M27"/>
    <mergeCell ref="M28:M30"/>
    <mergeCell ref="C20:E20"/>
    <mergeCell ref="E21:E23"/>
    <mergeCell ref="G20:I20"/>
    <mergeCell ref="I21:I23"/>
    <mergeCell ref="K20:M20"/>
    <mergeCell ref="M21:M23"/>
    <mergeCell ref="O6:Q6"/>
    <mergeCell ref="Q7:Q9"/>
    <mergeCell ref="C13:E13"/>
    <mergeCell ref="E14:E16"/>
    <mergeCell ref="G13:I13"/>
    <mergeCell ref="I14:I16"/>
    <mergeCell ref="K13:M13"/>
    <mergeCell ref="M14:M16"/>
    <mergeCell ref="E7:E9"/>
    <mergeCell ref="C6:E6"/>
    <mergeCell ref="G6:I6"/>
    <mergeCell ref="I7:I9"/>
    <mergeCell ref="K6:M6"/>
    <mergeCell ref="M7:M9"/>
    <mergeCell ref="O13:Q13"/>
    <mergeCell ref="Q14:Q16"/>
    <mergeCell ref="K48:M48"/>
    <mergeCell ref="M49:M51"/>
    <mergeCell ref="C34:E34"/>
    <mergeCell ref="E35:E37"/>
    <mergeCell ref="G34:I34"/>
    <mergeCell ref="I35:I37"/>
    <mergeCell ref="K34:M34"/>
    <mergeCell ref="M35:M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Anggy Tri Anugrah Saputra</cp:lastModifiedBy>
  <dcterms:created xsi:type="dcterms:W3CDTF">2007-12-31T21:25:27Z</dcterms:created>
  <dcterms:modified xsi:type="dcterms:W3CDTF">2026-07-18T08:54:23Z</dcterms:modified>
</cp:coreProperties>
</file>